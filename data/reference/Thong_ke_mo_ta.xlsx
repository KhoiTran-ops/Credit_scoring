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Gói phần mềm 1\Dự án 4\outputs\01a0d90b-8042-71e1-92e9-a381541fab3b\"/>
    </mc:Choice>
  </mc:AlternateContent>
  <xr:revisionPtr revIDLastSave="0" documentId="13_ncr:1_{EA110711-E933-4787-99A5-FD54A8713760}" xr6:coauthVersionLast="47" xr6:coauthVersionMax="47" xr10:uidLastSave="{00000000-0000-0000-0000-000000000000}"/>
  <bookViews>
    <workbookView xWindow="-120" yWindow="-120" windowWidth="20730" windowHeight="11160" firstSheet="2" activeTab="5" xr2:uid="{00000000-000D-0000-FFFF-FFFF00000000}"/>
  </bookViews>
  <sheets>
    <sheet name="Tom tat" sheetId="1" r:id="rId1"/>
    <sheet name="Truc quan" sheetId="2" r:id="rId2"/>
    <sheet name="Doi chieu Raw-Clean" sheetId="3" r:id="rId3"/>
    <sheet name="Bien dinh luong" sheetId="4" r:id="rId4"/>
    <sheet name="Bien phan loai" sheetId="5" r:id="rId5"/>
    <sheet name="Tuong quan" sheetId="6" r:id="rId6"/>
    <sheet name="Tinh chat du lieu" sheetId="7" r:id="rId7"/>
    <sheet name="Nguon va tu die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3" l="1"/>
  <c r="D32" i="3"/>
  <c r="D31" i="3"/>
  <c r="D30" i="3"/>
  <c r="D24" i="3"/>
  <c r="D23" i="3"/>
  <c r="D22" i="3"/>
  <c r="D21" i="3"/>
  <c r="D20" i="3"/>
  <c r="D19" i="3"/>
  <c r="D18" i="3"/>
</calcChain>
</file>

<file path=xl/sharedStrings.xml><?xml version="1.0" encoding="utf-8"?>
<sst xmlns="http://schemas.openxmlformats.org/spreadsheetml/2006/main" count="491" uniqueCount="360">
  <si>
    <t>CHỦ ĐỀ 1 – DỮ LIỆU VÀ THỐNG KÊ MÔ TẢ</t>
  </si>
  <si>
    <t>Bảng 1</t>
  </si>
  <si>
    <t>Hồ sơ bộ dữ liệu</t>
  </si>
  <si>
    <t>Nội dung</t>
  </si>
  <si>
    <t>Kết quả</t>
  </si>
  <si>
    <t>Diễn giải</t>
  </si>
  <si>
    <t>Nguồn</t>
  </si>
  <si>
    <t>UCI Machine Learning Repository</t>
  </si>
  <si>
    <t>Default of Credit Card Clients; DOI 10.24432/C55S3H</t>
  </si>
  <si>
    <t>Đơn vị quan sát</t>
  </si>
  <si>
    <t>30.000 khách hàng</t>
  </si>
  <si>
    <t>Khách hàng thẻ tín dụng tại Đài Loan</t>
  </si>
  <si>
    <t>Cấu trúc tệp</t>
  </si>
  <si>
    <t>30.000 × 25</t>
  </si>
  <si>
    <t>23 biến giải thích, 1 ID và 1 biến đích</t>
  </si>
  <si>
    <t>Khoảng thời gian</t>
  </si>
  <si>
    <t>04–09/2005</t>
  </si>
  <si>
    <t>Sáu tháng lịch sử thanh toán; dự báo vỡ nợ kỳ tiếp theo</t>
  </si>
  <si>
    <t>Thiếu dữ liệu</t>
  </si>
  <si>
    <t>0 ô</t>
  </si>
  <si>
    <t>Không cần nội suy hay loại dòng vì thiếu</t>
  </si>
  <si>
    <t>Biến đích</t>
  </si>
  <si>
    <t>6.636 vỡ nợ (22.12%)</t>
  </si>
  <si>
    <t>Mất cân bằng lớp ở mức vừa; cần stratified split và metric phù hợp</t>
  </si>
  <si>
    <t>TRỰC QUAN HÓA DỮ LIỆU</t>
  </si>
  <si>
    <t>Nguyên tắc chọn biểu đồ</t>
  </si>
  <si>
    <t>Biến</t>
  </si>
  <si>
    <t>Loại dữ liệu</t>
  </si>
  <si>
    <t>Biểu đồ</t>
  </si>
  <si>
    <t>Lý do chọn</t>
  </si>
  <si>
    <t>Phân loại nhị phân</t>
  </si>
  <si>
    <t>Biểu đồ cột</t>
  </si>
  <si>
    <t>So sánh tần số của hai nhóm; cột bắt đầu từ 0.</t>
  </si>
  <si>
    <t>Giới tính × vỡ nợ</t>
  </si>
  <si>
    <t>Phân loại × tỷ lệ</t>
  </si>
  <si>
    <t>So sánh tỷ lệ trên cùng một thang phần trăm, bắt đầu từ 0.</t>
  </si>
  <si>
    <t>Hạn mức tín dụng</t>
  </si>
  <si>
    <t>Liên tục</t>
  </si>
  <si>
    <t>Biểu đồ cột theo khoảng</t>
  </si>
  <si>
    <t>Khoảng 50.000 NTD đến dưới 750.000 NTD; gộp đuôi thưa thành nhóm ≥750.000 NTD và chuẩn hóa theo từng nhóm.</t>
  </si>
  <si>
    <t>Nhóm tuổi × vỡ nợ</t>
  </si>
  <si>
    <t>Thứ bậc × tỷ lệ</t>
  </si>
  <si>
    <t>Biểu đồ đường</t>
  </si>
  <si>
    <t>Các nhóm tuổi có thứ tự tự nhiên; đường nối nhấn mạnh xu hướng theo tuổi.</t>
  </si>
  <si>
    <t>Dữ liệu nguồn cho các hình</t>
  </si>
  <si>
    <t>Nhóm</t>
  </si>
  <si>
    <t>n</t>
  </si>
  <si>
    <t>% mẫu</t>
  </si>
  <si>
    <t>Giới tính</t>
  </si>
  <si>
    <t>Tỷ lệ vỡ nợ</t>
  </si>
  <si>
    <t>Mốc 0</t>
  </si>
  <si>
    <t>Nhóm tuổi</t>
  </si>
  <si>
    <t>Khoảng (nghìn)</t>
  </si>
  <si>
    <t>Không vỡ nợ</t>
  </si>
  <si>
    <t>Vỡ nợ kỳ tiếp theo</t>
  </si>
  <si>
    <t>Nam</t>
  </si>
  <si>
    <t>20-29</t>
  </si>
  <si>
    <t>0–&lt;50</t>
  </si>
  <si>
    <t>Nữ</t>
  </si>
  <si>
    <t>30-39</t>
  </si>
  <si>
    <t>50–&lt;100</t>
  </si>
  <si>
    <t>40-49</t>
  </si>
  <si>
    <t>100–&lt;150</t>
  </si>
  <si>
    <t>50-59</t>
  </si>
  <si>
    <t>150–&lt;200</t>
  </si>
  <si>
    <t>60+</t>
  </si>
  <si>
    <t>200–&lt;250</t>
  </si>
  <si>
    <t>250–&lt;300</t>
  </si>
  <si>
    <t>300–&lt;350</t>
  </si>
  <si>
    <t>350–&lt;400</t>
  </si>
  <si>
    <t>400–&lt;450</t>
  </si>
  <si>
    <t>450–&lt;500</t>
  </si>
  <si>
    <t>500–&lt;550</t>
  </si>
  <si>
    <t>550–&lt;600</t>
  </si>
  <si>
    <t>600–&lt;650</t>
  </si>
  <si>
    <t>650–&lt;700</t>
  </si>
  <si>
    <t>700–&lt;750</t>
  </si>
  <si>
    <t>≥750</t>
  </si>
  <si>
    <t>ĐỐI CHIẾU DỮ LIỆU RAW VÀ DỮ LIỆU LÀM SẠCH</t>
  </si>
  <si>
    <t>Bảng 2</t>
  </si>
  <si>
    <t>Các thao tác làm sạch đã thực hiện</t>
  </si>
  <si>
    <t>Thao tác</t>
  </si>
  <si>
    <t>Phương pháp</t>
  </si>
  <si>
    <t>Số ô bị đổi</t>
  </si>
  <si>
    <t>Lý do</t>
  </si>
  <si>
    <t>Ảnh hưởng</t>
  </si>
  <si>
    <t>Đổi tên 25 cột</t>
  </si>
  <si>
    <t>Chuẩn hóa tên biến (schema harmonization)</t>
  </si>
  <si>
    <t>Tên rõ nghĩa, có tháng và đơn vị</t>
  </si>
  <si>
    <t>Không đổi giá trị</t>
  </si>
  <si>
    <t>EDUCATION: 0, 5, 6 → 4</t>
  </si>
  <si>
    <t>Gộp mức hiếm/không xác định (category harmonization)</t>
  </si>
  <si>
    <t>Các mã ngoài định nghĩa chính thức được gom vào ‘khác/không rõ’</t>
  </si>
  <si>
    <t>7 mức còn 4 mức</t>
  </si>
  <si>
    <t>MARRIAGE: 0 → 3</t>
  </si>
  <si>
    <t>Gộp mã không xác định vào ‘khác/không rõ’</t>
  </si>
  <si>
    <t>Mã 0 không có nhãn chính thức</t>
  </si>
  <si>
    <t>4 mức còn 3 mức</t>
  </si>
  <si>
    <t>Sắp xếp theo customer_id</t>
  </si>
  <si>
    <t>Ổn định thứ tự bản ghi</t>
  </si>
  <si>
    <t>Thuận tiện truy vết và tái lập</t>
  </si>
  <si>
    <t>Không đổi dữ liệu</t>
  </si>
  <si>
    <t>Ép kiểu số nguyên và xuất CSV UTF-8</t>
  </si>
  <si>
    <t>Chuẩn hóa kiểu dữ liệu</t>
  </si>
  <si>
    <t>Tránh kiểu hỗn hợp và lỗi ký tự</t>
  </si>
  <si>
    <t>Không đổi trị số</t>
  </si>
  <si>
    <t>Bảng 3</t>
  </si>
  <si>
    <t>Phân bố EDUCATION trước và sau làm sạch</t>
  </si>
  <si>
    <t>Mã</t>
  </si>
  <si>
    <t>Raw, n</t>
  </si>
  <si>
    <t>Clean, n</t>
  </si>
  <si>
    <t>Chênh lệch</t>
  </si>
  <si>
    <t>Ghi chú. Mã 4 sau làm sạch gồm raw mã 4 cộng với raw mã 0, 5 và 6. Nhóm này dị biệt nên phải diễn giải thận trọng.</t>
  </si>
  <si>
    <t>Bảng 4</t>
  </si>
  <si>
    <t>Phân bố MARRIAGE trước và sau làm sạch</t>
  </si>
  <si>
    <t>Ghi chú. Mã 3 sau làm sạch gồm raw mã 3 cộng với 54 quan sát raw mã 0.</t>
  </si>
  <si>
    <t>THỐNG KÊ MÔ TẢ BIẾN ĐỊNH LƯỢNG</t>
  </si>
  <si>
    <t>Trình bày theo hướng học thuật: N, số thiếu, M, SD, trung vị, IQR, khoảng giá trị và độ lệch</t>
  </si>
  <si>
    <t>Bảng 5</t>
  </si>
  <si>
    <t>Đặc trưng phân phối của các biến định lượng</t>
  </si>
  <si>
    <t>N</t>
  </si>
  <si>
    <t>Thiếu</t>
  </si>
  <si>
    <t>M</t>
  </si>
  <si>
    <t>SD</t>
  </si>
  <si>
    <t>Trung vị</t>
  </si>
  <si>
    <t>IQR</t>
  </si>
  <si>
    <t>Nhỏ nhất</t>
  </si>
  <si>
    <t>Lớn nhất</t>
  </si>
  <si>
    <t>Độ lệch</t>
  </si>
  <si>
    <t>Ngoài 1,5×IQR, n</t>
  </si>
  <si>
    <t>Tuổi</t>
  </si>
  <si>
    <t>Dư nợ T9</t>
  </si>
  <si>
    <t>Dư nợ T8</t>
  </si>
  <si>
    <t>Dư nợ T7</t>
  </si>
  <si>
    <t>Dư nợ T6</t>
  </si>
  <si>
    <t>Dư nợ T5</t>
  </si>
  <si>
    <t>Dư nợ T4</t>
  </si>
  <si>
    <t>Thanh toán T9</t>
  </si>
  <si>
    <t>Thanh toán T8</t>
  </si>
  <si>
    <t>Thanh toán T7</t>
  </si>
  <si>
    <t>Thanh toán T6</t>
  </si>
  <si>
    <t>Thanh toán T5</t>
  </si>
  <si>
    <t>Thanh toán T4</t>
  </si>
  <si>
    <t>Ghi chú. M = trung bình; SD = độ lệch chuẩn mẫu; IQR = Q3 − Q1. Đơn vị tiền là đô la Đài Loan; tuổi tính bằng năm. ‘Ngoài 1,5×IQR’ là cờ mô tả ngoại lệ theo Tukey, không đồng nghĩa dữ liệu sai nên không bị loại. Các biến này không bị sửa trị số, vì vậy bảng áp dụng cho cả raw và clean.</t>
  </si>
  <si>
    <t>THỐNG KÊ MÔ TẢ BIẾN PHÂN LOẠI</t>
  </si>
  <si>
    <t>Báo cáo tần số n (%), số ca vỡ nợ và tỷ lệ vỡ nợ trong từng nhóm</t>
  </si>
  <si>
    <t>Bảng 6</t>
  </si>
  <si>
    <t>Phân bố biến đích</t>
  </si>
  <si>
    <t>Mức</t>
  </si>
  <si>
    <t>%</t>
  </si>
  <si>
    <t>Ghi chú. Biến đích bằng 1 nếu khách hàng vỡ nợ ở kỳ tiếp theo. Tỷ lệ lớp 1 là 22,12%.</t>
  </si>
  <si>
    <t>Bảng 7</t>
  </si>
  <si>
    <t>Phân bố nhân khẩu học và tỷ lệ vỡ nợ theo nhóm</t>
  </si>
  <si>
    <t>Vỡ nợ, n</t>
  </si>
  <si>
    <t>Học vấn (clean)</t>
  </si>
  <si>
    <t>Sau đại học</t>
  </si>
  <si>
    <t>Đại học</t>
  </si>
  <si>
    <t>Trung học</t>
  </si>
  <si>
    <t>Khác hoặc không rõ</t>
  </si>
  <si>
    <t>Hôn nhân (clean)</t>
  </si>
  <si>
    <t>Đã kết hôn</t>
  </si>
  <si>
    <t>Độc thân</t>
  </si>
  <si>
    <t>Ghi chú. Tỷ lệ vỡ nợ là mô tả hai biến, không phải quan hệ nhân quả. Các nhóm nhỏ, đặc biệt nhóm 60+ và ‘khác/không rõ’, cần diễn giải thận trọng.</t>
  </si>
  <si>
    <t>Bảng 8</t>
  </si>
  <si>
    <t>Phân bố mã trạng thái trả nợ theo tháng</t>
  </si>
  <si>
    <t>T9</t>
  </si>
  <si>
    <t>T8</t>
  </si>
  <si>
    <t>T7</t>
  </si>
  <si>
    <t>T6</t>
  </si>
  <si>
    <t>T5</t>
  </si>
  <si>
    <t>T4</t>
  </si>
  <si>
    <t>Tỷ lệ vỡ nợ theo mã T9</t>
  </si>
  <si>
    <t>Ghi chú. UCI mô tả -1 là trả đúng hạn và 1–8 là số tháng chậm. Mã -2 và 0 xuất hiện trong tệp nhưng không được tài liệu UCI giải thích đầy đủ; giữ nguyên và ghi nhận là hạn chế diễn giải.</t>
  </si>
  <si>
    <t>MA TRẬN TƯƠNG QUAN</t>
  </si>
  <si>
    <t>Tương quan Pearson giữa các biến định lượng và biến đích nhị phân</t>
  </si>
  <si>
    <t>Bảng 9</t>
  </si>
  <si>
    <t>Hệ số tương quan Pearson</t>
  </si>
  <si>
    <t>LIMIT_BAL</t>
  </si>
  <si>
    <t>AGE</t>
  </si>
  <si>
    <t>BILL_AMT1</t>
  </si>
  <si>
    <t>BILL_AMT2</t>
  </si>
  <si>
    <t>BILL_AMT3</t>
  </si>
  <si>
    <t>BILL_AMT4</t>
  </si>
  <si>
    <t>BILL_AMT5</t>
  </si>
  <si>
    <t>BILL_AMT6</t>
  </si>
  <si>
    <t>PAY_AMT1</t>
  </si>
  <si>
    <t>PAY_AMT2</t>
  </si>
  <si>
    <t>PAY_AMT3</t>
  </si>
  <si>
    <t>PAY_AMT4</t>
  </si>
  <si>
    <t>PAY_AMT5</t>
  </si>
  <si>
    <t>PAY_AMT6</t>
  </si>
  <si>
    <t>DEFAULT</t>
  </si>
  <si>
    <t>Ghi chú. Hệ số nằm trong [-1; 1] và được làm tròn 3 chữ số. Màu đỏ biểu thị tương quan âm, màu xanh biểu thị tương quan dương. Tương quan không hàm ý quan hệ nhân quả.</t>
  </si>
  <si>
    <t>Nhận xét chính</t>
  </si>
  <si>
    <t>• Các biến dư nợ BILL_AMT ở những tháng liền kề có tương quan dương rất cao, cho thấy nguy cơ đa cộng tuyến hoặc thông tin lặp khi cùng đưa vào mô hình tuyến tính.</t>
  </si>
  <si>
    <t>• Trong nhóm biến định lượng được trình bày, LIMIT_BAL có tương quan với DEFAULT là -0.154. Mức liên hệ tuyến tính đơn biến này yếu và không đồng nghĩa biến không có giá trị dự báo.</t>
  </si>
  <si>
    <t>• Các biến trạng thái trả nợ PAY_0–PAY_6 là thang thứ bậc nên không được trộn vào ma trận Pearson này; phân bố của chúng được báo cáo riêng ở trang Biến phân loại.</t>
  </si>
  <si>
    <t>TÍNH CHẤT CỦA BỘ DỮ LIỆU</t>
  </si>
  <si>
    <t>Những đặc điểm cần lưu ý khi phân tích và xây dựng mô hình chấm điểm tín dụng</t>
  </si>
  <si>
    <t>Bảng 10</t>
  </si>
  <si>
    <t>Tính chất dữ liệu và hàm ý phương pháp</t>
  </si>
  <si>
    <t>Tính chất</t>
  </si>
  <si>
    <t>Bằng chứng</t>
  </si>
  <si>
    <t>Hàm ý phân tích</t>
  </si>
  <si>
    <t>Xử lý hiện tại</t>
  </si>
  <si>
    <t>Dữ liệu bảng cắt ngang có lịch sử lặp</t>
  </si>
  <si>
    <t>30.000 khách hàng; 6 tháng PAY/BILL/PAY_AMT</t>
  </si>
  <si>
    <t>Tách train/test theo khách hàng; không coi 6 tháng là 180.000 dòng độc lập</t>
  </si>
  <si>
    <t>Giữ 1 dòng/khách hàng</t>
  </si>
  <si>
    <t>Biến đích nhị phân, mất cân bằng</t>
  </si>
  <si>
    <t>6.636/30.000 = 22.12% vỡ nợ</t>
  </si>
  <si>
    <t>Dùng stratified split; xem ROC-AUC, PR-AUC, recall/precision và calibration</t>
  </si>
  <si>
    <t>Chưa resample ở bước dữ liệu</t>
  </si>
  <si>
    <t>Không có giá trị thiếu</t>
  </si>
  <si>
    <t>0 ô thiếu ở raw và clean</t>
  </si>
  <si>
    <t>Không cần phương pháp điền khuyết</t>
  </si>
  <si>
    <t>Không impute</t>
  </si>
  <si>
    <t>Biến tiền lệch phải mạnh</t>
  </si>
  <si>
    <t>Trung bình thường cao hơn trung vị; độ lệch dương lớn</t>
  </si>
  <si>
    <t>Cân nhắc log1p/robust scaling trong pipeline; fit chỉ trên train</t>
  </si>
  <si>
    <t>Giữ trị số gốc</t>
  </si>
  <si>
    <t>Giá trị cực trị có thể hợp lệ</t>
  </si>
  <si>
    <t>Nhiều quan sát ngoài 1,5×IQR; hạn mức tối đa 1.000.000 NTD</t>
  </si>
  <si>
    <t>Không tự động coi là lỗi; kiểm tra độ nhạy mô hình</t>
  </si>
  <si>
    <t>Không xóa/winsorize</t>
  </si>
  <si>
    <t>Số dư sao kê âm</t>
  </si>
  <si>
    <t>3.932 ô âm trên 6 cột BILL_AMT</t>
  </si>
  <si>
    <t>Có thể phản ánh số dư có hoặc điều chỉnh</t>
  </si>
  <si>
    <t>Giữ lại; không gán thiếu</t>
  </si>
  <si>
    <t>Mã phân loại không được định nghĩa đầy đủ</t>
  </si>
  <si>
    <t>EDUCATION 0/5/6; MARRIAGE 0; PAY có -2 và 0</t>
  </si>
  <si>
    <t>Tránh diễn giải quá mức; công bố quy tắc gộp</t>
  </si>
  <si>
    <t>Gộp EDUCATION/MARRIAGE; giữ PAY</t>
  </si>
  <si>
    <t>Có biến nhạy cảm</t>
  </si>
  <si>
    <t>Giới tính và tuổi</t>
  </si>
  <si>
    <t>Cần đánh giá fairness và phân biệt giữa dự báo với quyết định tín dụng</t>
  </si>
  <si>
    <t>Giữ để phân tích; cân nhắc loại khỏi mô hình chính</t>
  </si>
  <si>
    <t>Giới hạn ngoại suy</t>
  </si>
  <si>
    <t>Mẫu Đài Loan, dữ liệu năm 2005</t>
  </si>
  <si>
    <t>Không mặc nhiên khái quát sang Việt Nam hoặc hiện tại</t>
  </si>
  <si>
    <t>Nêu rõ phạm vi và hạn chế</t>
  </si>
  <si>
    <t>Dữ liệu quan sát, không thực nghiệm</t>
  </si>
  <si>
    <t>Không có phân bổ ngẫu nhiên/can thiệp</t>
  </si>
  <si>
    <t>Không suy luận nhân quả từ chênh lệch tỷ lệ</t>
  </si>
  <si>
    <t>Chỉ thống kê mô tả và dự báo</t>
  </si>
  <si>
    <t>Ghi chú. Bảng này tách ‘đặc tính quan sát được’ khỏi ‘hàm ý phương pháp’. Các đề xuất mô hình không làm thay đổi tệp dữ liệu sạch hiện tại.</t>
  </si>
  <si>
    <t>NGUỒN VÀ TỪ ĐIỂN DỮ LIỆU</t>
  </si>
  <si>
    <t>Nguồn tham khảo và định nghĩa 25 cột trong tệp clean</t>
  </si>
  <si>
    <t>Bảng 11</t>
  </si>
  <si>
    <t>Nguồn phương pháp và quy cách trình bày</t>
  </si>
  <si>
    <t>Áp dụng trong báo cáo</t>
  </si>
  <si>
    <t>Liên kết</t>
  </si>
  <si>
    <t>Nguồn dữ liệu, mô tả biến và DOI</t>
  </si>
  <si>
    <t>https://archive.ics.uci.edu/dataset/350/default+of+credit+card+clients</t>
  </si>
  <si>
    <t>APA Style, 7th edition</t>
  </si>
  <si>
    <t>Số bảng, tựa bảng, ghi chú; không dùng đường dọc; đường kẻ tối giản</t>
  </si>
  <si>
    <t>https://www.apa.org/ed/precollege/psn/2020/09/apa-style-student-papers</t>
  </si>
  <si>
    <t>NIST/SEMATECH e-Handbook</t>
  </si>
  <si>
    <t>Histogram cho biến liên tục; khoảng lớp đều và tỷ trọng theo nhóm</t>
  </si>
  <si>
    <t>https://www.itl.nist.gov/div898/handbook/eda/section3/eda33e.htm</t>
  </si>
  <si>
    <t>ONS Data Visualisation</t>
  </si>
  <si>
    <t>Trục cột bắt đầu từ 0; khoảng chia tròn, nhất quán và ít đường lưới</t>
  </si>
  <si>
    <t>https://service-manual.ons.gov.uk/data-visualisation/guidance/axes-and-gridlines</t>
  </si>
  <si>
    <t>Government Analysis Function</t>
  </si>
  <si>
    <t>Nhãn rõ đơn vị, bố cục tối giản, khoảng cách cột và chú giải</t>
  </si>
  <si>
    <t>https://analysisfunction.civilservice.gov.uk/policy-store/data-visualisation-charts/</t>
  </si>
  <si>
    <t>Weissgerber et al. (2015)</t>
  </si>
  <si>
    <t>Trình bày phân phối thay vì chỉ dùng trung bình cho biến liên tục</t>
  </si>
  <si>
    <t>https://doi.org/10.1371/journal.pbio.1002128</t>
  </si>
  <si>
    <t>Yeh &amp; Lien (2009)</t>
  </si>
  <si>
    <t>Bài báo gốc của bộ dữ liệu</t>
  </si>
  <si>
    <t>https://doi.org/10.1016/j.eswa.2007.12.020</t>
  </si>
  <si>
    <t>Ghi chú. Quy cách bảng theo tinh thần APA 7; lựa chọn biểu đồ và thiết kế trục dựa trên NIST, ONS, Government Analysis Function và Weissgerber et al. (2015).</t>
  </si>
  <si>
    <t>Bảng 12</t>
  </si>
  <si>
    <t>Từ điển dữ liệu sau làm sạch</t>
  </si>
  <si>
    <t>Tên clean</t>
  </si>
  <si>
    <t>Tên raw</t>
  </si>
  <si>
    <t>Loại</t>
  </si>
  <si>
    <t>Ý nghĩa</t>
  </si>
  <si>
    <t>Mã hóa/đơn vị</t>
  </si>
  <si>
    <t>Xử lý</t>
  </si>
  <si>
    <t>customer_id</t>
  </si>
  <si>
    <t>ID</t>
  </si>
  <si>
    <t>Định danh</t>
  </si>
  <si>
    <t>Mã khách hàng</t>
  </si>
  <si>
    <t>Số nguyên duy nhất</t>
  </si>
  <si>
    <t>Đổi tên; giữ để truy vết, không dùng làm biến dự báo</t>
  </si>
  <si>
    <t>credit_limit_ntd</t>
  </si>
  <si>
    <t>Số</t>
  </si>
  <si>
    <t>Đô la Đài Loan</t>
  </si>
  <si>
    <t>Đổi tên; giữ nguyên giá trị</t>
  </si>
  <si>
    <t>sex</t>
  </si>
  <si>
    <t>SEX</t>
  </si>
  <si>
    <t>Phân loại</t>
  </si>
  <si>
    <t>1 Nam; 2 Nữ</t>
  </si>
  <si>
    <t>Đổi tên; giữ nguyên mã</t>
  </si>
  <si>
    <t>education</t>
  </si>
  <si>
    <t>EDUCATION</t>
  </si>
  <si>
    <t>Trình độ học vấn</t>
  </si>
  <si>
    <t>1 Sau đại học; 2 Đại học; 3 Trung học; 4 Khác hoặc không rõ</t>
  </si>
  <si>
    <t>Gộp mã 0, 5, 6 vào mã 4</t>
  </si>
  <si>
    <t>marital_status</t>
  </si>
  <si>
    <t>MARRIAGE</t>
  </si>
  <si>
    <t>Tình trạng hôn nhân</t>
  </si>
  <si>
    <t>1 Đã kết hôn; 2 Độc thân; 3 Khác hoặc không rõ</t>
  </si>
  <si>
    <t>Gộp mã 0 vào mã 3</t>
  </si>
  <si>
    <t>age</t>
  </si>
  <si>
    <t>Năm</t>
  </si>
  <si>
    <t>repayment_status_sep</t>
  </si>
  <si>
    <t>PAY_0</t>
  </si>
  <si>
    <t>Phân loại có thứ tự</t>
  </si>
  <si>
    <t>Trạng thái trả nợ tháng 9 năm 2005</t>
  </si>
  <si>
    <t>-1 trả đúng hạn; 1 đến 8 là số tháng chậm; -2 và 0 có trong dữ liệu nhưng UCI không mô tả rõ</t>
  </si>
  <si>
    <t>Đổi tên; giữ nguyên mã quan sát</t>
  </si>
  <si>
    <t>repayment_status_aug</t>
  </si>
  <si>
    <t>PAY_2</t>
  </si>
  <si>
    <t>Trạng thái trả nợ tháng 8 năm 2005</t>
  </si>
  <si>
    <t>repayment_status_jul</t>
  </si>
  <si>
    <t>PAY_3</t>
  </si>
  <si>
    <t>Trạng thái trả nợ tháng 7 năm 2005</t>
  </si>
  <si>
    <t>repayment_status_jun</t>
  </si>
  <si>
    <t>PAY_4</t>
  </si>
  <si>
    <t>Trạng thái trả nợ tháng 6 năm 2005</t>
  </si>
  <si>
    <t>repayment_status_may</t>
  </si>
  <si>
    <t>PAY_5</t>
  </si>
  <si>
    <t>Trạng thái trả nợ tháng 5 năm 2005</t>
  </si>
  <si>
    <t>repayment_status_apr</t>
  </si>
  <si>
    <t>PAY_6</t>
  </si>
  <si>
    <t>Trạng thái trả nợ tháng 4 năm 2005</t>
  </si>
  <si>
    <t>bill_amount_sep_ntd</t>
  </si>
  <si>
    <t>Số dư sao kê tháng 9 năm 2005</t>
  </si>
  <si>
    <t>Đổi tên; giữ số âm vì có thể phản ánh số dư có hoặc điều chỉnh</t>
  </si>
  <si>
    <t>bill_amount_aug_ntd</t>
  </si>
  <si>
    <t>Số dư sao kê tháng 8 năm 2005</t>
  </si>
  <si>
    <t>bill_amount_jul_ntd</t>
  </si>
  <si>
    <t>Số dư sao kê tháng 7 năm 2005</t>
  </si>
  <si>
    <t>bill_amount_jun_ntd</t>
  </si>
  <si>
    <t>Số dư sao kê tháng 6 năm 2005</t>
  </si>
  <si>
    <t>bill_amount_may_ntd</t>
  </si>
  <si>
    <t>Số dư sao kê tháng 5 năm 2005</t>
  </si>
  <si>
    <t>bill_amount_apr_ntd</t>
  </si>
  <si>
    <t>Số dư sao kê tháng 4 năm 2005</t>
  </si>
  <si>
    <t>payment_amount_sep_ntd</t>
  </si>
  <si>
    <t>Số tiền đã thanh toán tháng 9 năm 2005</t>
  </si>
  <si>
    <t>payment_amount_aug_ntd</t>
  </si>
  <si>
    <t>Số tiền đã thanh toán tháng 8 năm 2005</t>
  </si>
  <si>
    <t>payment_amount_jul_ntd</t>
  </si>
  <si>
    <t>Số tiền đã thanh toán tháng 7 năm 2005</t>
  </si>
  <si>
    <t>payment_amount_jun_ntd</t>
  </si>
  <si>
    <t>Số tiền đã thanh toán tháng 6 năm 2005</t>
  </si>
  <si>
    <t>payment_amount_may_ntd</t>
  </si>
  <si>
    <t>Số tiền đã thanh toán tháng 5 năm 2005</t>
  </si>
  <si>
    <t>payment_amount_apr_ntd</t>
  </si>
  <si>
    <t>Số tiền đã thanh toán tháng 4 năm 2005</t>
  </si>
  <si>
    <t>default_next_month</t>
  </si>
  <si>
    <t>default payment next month</t>
  </si>
  <si>
    <t>Nhị phân</t>
  </si>
  <si>
    <t>Vỡ nợ ở kỳ tiếp theo</t>
  </si>
  <si>
    <t>0 Không; 1 Có</t>
  </si>
  <si>
    <t>Ghi chú. customer_id được giữ để truy vết nhưng không nên dùng làm biến dự báo. Các cột tiền có đơn vị NTD.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</si>
</sst>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0"/>
  </numFmts>
  <fonts count="9">
    <font>
      <sz val="11"/>
      <name val="Carlito"/>
    </font>
    <font>
      <sz val="11"/>
      <color rgb="FF111111"/>
      <name val="Times New Roman"/>
    </font>
    <font>
      <b/>
      <sz val="16"/>
      <color rgb="FF111111"/>
      <name val="Times New Roman"/>
    </font>
    <font>
      <i/>
      <sz val="10"/>
      <color rgb="FF555555"/>
      <name val="Times New Roman"/>
    </font>
    <font>
      <b/>
      <sz val="11"/>
      <color rgb="FF111111"/>
      <name val="Times New Roman"/>
    </font>
    <font>
      <i/>
      <sz val="11"/>
      <color rgb="FF111111"/>
      <name val="Times New Roman"/>
    </font>
    <font>
      <b/>
      <sz val="10"/>
      <color rgb="FF111111"/>
      <name val="Times New Roman"/>
    </font>
    <font>
      <sz val="10"/>
      <color rgb="FF111111"/>
      <name val="Times New Roman"/>
    </font>
    <font>
      <u/>
      <sz val="11"/>
      <color theme="10"/>
      <name val="Carlito"/>
    </font>
  </fonts>
  <fills count="3">
    <fill>
      <patternFill patternType="none"/>
    </fill>
    <fill>
      <patternFill patternType="gray125"/>
    </fill>
    <fill>
      <patternFill patternType="solid">
        <fgColor rgb="FFF2F2F2"/>
      </patternFill>
    </fill>
  </fills>
  <borders count="5">
    <border>
      <left/>
      <right/>
      <top/>
      <bottom/>
      <diagonal/>
    </border>
    <border>
      <left/>
      <right/>
      <top style="thin">
        <color rgb="FF555555"/>
      </top>
      <bottom style="thin">
        <color rgb="FF555555"/>
      </bottom>
      <diagonal/>
    </border>
    <border>
      <left/>
      <right/>
      <top/>
      <bottom style="thin">
        <color rgb="FF555555"/>
      </bottom>
      <diagonal/>
    </border>
    <border>
      <left/>
      <right/>
      <top/>
      <bottom style="thin">
        <color rgb="FF1F4E79"/>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49">
    <xf numFmtId="0" fontId="0" fillId="0" borderId="0" xfId="0"/>
    <xf numFmtId="0" fontId="1" fillId="0" borderId="0" xfId="0" applyFont="1" applyAlignment="1">
      <alignment vertical="center"/>
    </xf>
    <xf numFmtId="0" fontId="4" fillId="2"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6" fillId="2" borderId="1" xfId="0" applyFont="1" applyFill="1" applyBorder="1" applyAlignment="1">
      <alignment horizontal="center" vertical="center"/>
    </xf>
    <xf numFmtId="0" fontId="7" fillId="0" borderId="0" xfId="0" applyFont="1" applyAlignment="1">
      <alignment horizontal="center" vertical="center"/>
    </xf>
    <xf numFmtId="0" fontId="7" fillId="0" borderId="2" xfId="0" applyFont="1" applyBorder="1" applyAlignment="1">
      <alignment horizontal="center" vertical="center"/>
    </xf>
    <xf numFmtId="3" fontId="7" fillId="0" borderId="0" xfId="0" applyNumberFormat="1" applyFont="1" applyAlignment="1">
      <alignment horizontal="center" vertical="center"/>
    </xf>
    <xf numFmtId="3" fontId="7" fillId="0" borderId="2" xfId="0" applyNumberFormat="1" applyFont="1" applyBorder="1" applyAlignment="1">
      <alignment horizontal="center" vertical="center"/>
    </xf>
    <xf numFmtId="164" fontId="7" fillId="0" borderId="0" xfId="0" applyNumberFormat="1" applyFont="1" applyAlignment="1">
      <alignment horizontal="center" vertical="center"/>
    </xf>
    <xf numFmtId="164" fontId="7" fillId="0" borderId="2" xfId="0" applyNumberFormat="1" applyFont="1" applyBorder="1" applyAlignment="1">
      <alignment horizontal="center" vertical="center"/>
    </xf>
    <xf numFmtId="10" fontId="7" fillId="0" borderId="0" xfId="0" applyNumberFormat="1" applyFont="1" applyAlignment="1">
      <alignment horizontal="center" vertical="center"/>
    </xf>
    <xf numFmtId="10" fontId="7" fillId="0" borderId="2" xfId="0" applyNumberFormat="1" applyFont="1" applyBorder="1" applyAlignment="1">
      <alignment horizontal="center" vertical="center"/>
    </xf>
    <xf numFmtId="3" fontId="1" fillId="0" borderId="0" xfId="0" applyNumberFormat="1" applyFont="1" applyAlignment="1">
      <alignment horizontal="center" vertical="center" wrapText="1"/>
    </xf>
    <xf numFmtId="3" fontId="1" fillId="0" borderId="2" xfId="0" applyNumberFormat="1" applyFont="1" applyBorder="1" applyAlignment="1">
      <alignment horizontal="center" vertical="center" wrapText="1"/>
    </xf>
    <xf numFmtId="1" fontId="1" fillId="0" borderId="0" xfId="0" applyNumberFormat="1" applyFont="1" applyAlignment="1">
      <alignment horizontal="left" vertical="center" wrapText="1"/>
    </xf>
    <xf numFmtId="1" fontId="1" fillId="0" borderId="2" xfId="0" applyNumberFormat="1" applyFont="1" applyBorder="1" applyAlignment="1">
      <alignment horizontal="left" vertical="center" wrapText="1"/>
    </xf>
    <xf numFmtId="165" fontId="1" fillId="0" borderId="0" xfId="0" applyNumberFormat="1" applyFont="1" applyAlignment="1">
      <alignment horizontal="center" vertical="center" wrapText="1"/>
    </xf>
    <xf numFmtId="165" fontId="1" fillId="0" borderId="2" xfId="0" applyNumberFormat="1" applyFont="1" applyBorder="1" applyAlignment="1">
      <alignment horizontal="center" vertical="center" wrapText="1"/>
    </xf>
    <xf numFmtId="4" fontId="1" fillId="0" borderId="0" xfId="0" applyNumberFormat="1" applyFont="1" applyAlignment="1">
      <alignment horizontal="center" vertical="center" wrapText="1"/>
    </xf>
    <xf numFmtId="4" fontId="1" fillId="0" borderId="2" xfId="0" applyNumberFormat="1" applyFont="1" applyBorder="1" applyAlignment="1">
      <alignment horizontal="center" vertical="center" wrapText="1"/>
    </xf>
    <xf numFmtId="2" fontId="1" fillId="0" borderId="0" xfId="0" applyNumberFormat="1" applyFont="1" applyAlignment="1">
      <alignment horizontal="center" vertical="center" wrapText="1"/>
    </xf>
    <xf numFmtId="2" fontId="1" fillId="0" borderId="2" xfId="0" applyNumberFormat="1" applyFont="1" applyBorder="1" applyAlignment="1">
      <alignment horizontal="center" vertical="center" wrapText="1"/>
    </xf>
    <xf numFmtId="10" fontId="1" fillId="0" borderId="0" xfId="0" applyNumberFormat="1" applyFont="1" applyAlignment="1">
      <alignment horizontal="center" vertical="center" wrapText="1"/>
    </xf>
    <xf numFmtId="10" fontId="1" fillId="0" borderId="2" xfId="0" applyNumberFormat="1" applyFont="1" applyBorder="1" applyAlignment="1">
      <alignment horizontal="center" vertical="center" wrapText="1"/>
    </xf>
    <xf numFmtId="166" fontId="1" fillId="0" borderId="0" xfId="0" applyNumberFormat="1" applyFont="1" applyAlignment="1">
      <alignment horizontal="center" vertical="center" wrapText="1"/>
    </xf>
    <xf numFmtId="166" fontId="1" fillId="0" borderId="2" xfId="0" applyNumberFormat="1" applyFont="1" applyBorder="1" applyAlignment="1">
      <alignment horizontal="center" vertical="center" wrapText="1"/>
    </xf>
    <xf numFmtId="0" fontId="8" fillId="0" borderId="0" xfId="1" applyAlignment="1">
      <alignment horizontal="center" vertical="center" wrapText="1"/>
    </xf>
    <xf numFmtId="0" fontId="4"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wrapText="1"/>
    </xf>
    <xf numFmtId="0" fontId="2" fillId="0" borderId="0" xfId="0" applyFont="1" applyAlignment="1">
      <alignment vertical="center"/>
    </xf>
    <xf numFmtId="0" fontId="3" fillId="0" borderId="3" xfId="0" applyFont="1" applyBorder="1" applyAlignment="1">
      <alignment vertical="center"/>
    </xf>
    <xf numFmtId="0" fontId="2" fillId="0" borderId="0" xfId="0" applyFont="1" applyAlignment="1">
      <alignment horizontal="center" vertical="center"/>
    </xf>
    <xf numFmtId="0" fontId="1" fillId="0" borderId="0" xfId="0" applyFont="1" applyAlignment="1">
      <alignment horizontal="center" vertical="center"/>
    </xf>
    <xf numFmtId="0" fontId="7" fillId="0" borderId="0" xfId="0" applyFont="1" applyAlignment="1">
      <alignment vertical="center" wrapText="1"/>
    </xf>
    <xf numFmtId="0" fontId="7" fillId="0" borderId="2" xfId="0" applyFont="1" applyBorder="1" applyAlignment="1">
      <alignment vertical="center" wrapText="1"/>
    </xf>
    <xf numFmtId="0" fontId="3" fillId="0" borderId="3" xfId="0" applyFont="1" applyBorder="1" applyAlignment="1">
      <alignment horizontal="center" vertical="center"/>
    </xf>
    <xf numFmtId="0" fontId="6" fillId="2" borderId="1" xfId="0" applyFont="1" applyFill="1" applyBorder="1" applyAlignment="1">
      <alignment horizontal="center" vertical="center"/>
    </xf>
    <xf numFmtId="0" fontId="5" fillId="0" borderId="4" xfId="0" applyFont="1" applyBorder="1" applyAlignment="1">
      <alignment vertical="center"/>
    </xf>
    <xf numFmtId="0" fontId="1" fillId="0" borderId="4" xfId="0" applyFont="1" applyBorder="1" applyAlignment="1">
      <alignment vertical="center"/>
    </xf>
    <xf numFmtId="0" fontId="4" fillId="2" borderId="4" xfId="0" applyFont="1" applyFill="1" applyBorder="1" applyAlignment="1">
      <alignment horizontal="center" vertical="center" wrapText="1"/>
    </xf>
    <xf numFmtId="0" fontId="1" fillId="0" borderId="4" xfId="0" applyFont="1" applyBorder="1" applyAlignment="1">
      <alignment horizontal="left" vertical="center" wrapText="1"/>
    </xf>
    <xf numFmtId="3" fontId="1" fillId="0" borderId="4" xfId="0" applyNumberFormat="1" applyFont="1" applyBorder="1" applyAlignment="1">
      <alignment horizontal="center" vertical="center" wrapText="1"/>
    </xf>
    <xf numFmtId="10" fontId="1" fillId="0" borderId="4" xfId="0" applyNumberFormat="1"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Hình 1. Phân bố khách hàng theo biến đích</a:t>
            </a:r>
          </a:p>
        </c:rich>
      </c:tx>
      <c:overlay val="0"/>
    </c:title>
    <c:autoTitleDeleted val="0"/>
    <c:plotArea>
      <c:layout/>
      <c:barChart>
        <c:barDir val="col"/>
        <c:grouping val="clustered"/>
        <c:varyColors val="0"/>
        <c:ser>
          <c:idx val="0"/>
          <c:order val="0"/>
          <c:tx>
            <c:v>n</c:v>
          </c:tx>
          <c:spPr>
            <a:solidFill>
              <a:srgbClr val="1F4E79"/>
            </a:solidFill>
          </c:spPr>
          <c:invertIfNegative val="1"/>
          <c:cat>
            <c:strRef>
              <c:f>'Truc quan'!$A$46:$A$47</c:f>
              <c:strCache>
                <c:ptCount val="2"/>
                <c:pt idx="0">
                  <c:v>Không vỡ nợ</c:v>
                </c:pt>
                <c:pt idx="1">
                  <c:v>Vỡ nợ kỳ tiếp theo</c:v>
                </c:pt>
              </c:strCache>
            </c:strRef>
          </c:cat>
          <c:val>
            <c:numRef>
              <c:f>'Truc quan'!$B$46:$B$47</c:f>
              <c:numCache>
                <c:formatCode>#,##0</c:formatCode>
                <c:ptCount val="2"/>
                <c:pt idx="0">
                  <c:v>23364</c:v>
                </c:pt>
                <c:pt idx="1">
                  <c:v>6636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4DD7-4FEA-AE75-6F1FDA5EC7D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n-US"/>
                  <a:t>Trạng thái vỡ nợ</a:t>
                </a:r>
              </a:p>
            </c:rich>
          </c:tx>
          <c:overlay val="0"/>
        </c:title>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vi-VN"/>
                  <a:t>Số khách hàng (người)</a:t>
                </a:r>
              </a:p>
            </c:rich>
          </c:tx>
          <c:overlay val="0"/>
        </c:title>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Hình 2. Tỷ lệ vỡ nợ theo giới tính</a:t>
            </a:r>
          </a:p>
        </c:rich>
      </c:tx>
      <c:overlay val="0"/>
    </c:title>
    <c:autoTitleDeleted val="0"/>
    <c:plotArea>
      <c:layout/>
      <c:barChart>
        <c:barDir val="col"/>
        <c:grouping val="clustered"/>
        <c:varyColors val="0"/>
        <c:ser>
          <c:idx val="0"/>
          <c:order val="0"/>
          <c:tx>
            <c:v>Tỷ lệ vỡ nợ</c:v>
          </c:tx>
          <c:spPr>
            <a:solidFill>
              <a:srgbClr val="4F81BD"/>
            </a:solidFill>
          </c:spPr>
          <c:invertIfNegative val="1"/>
          <c:cat>
            <c:strRef>
              <c:f>'Truc quan'!$E$46:$E$47</c:f>
              <c:strCache>
                <c:ptCount val="2"/>
                <c:pt idx="0">
                  <c:v>Nam</c:v>
                </c:pt>
                <c:pt idx="1">
                  <c:v>Nữ</c:v>
                </c:pt>
              </c:strCache>
            </c:strRef>
          </c:cat>
          <c:val>
            <c:numRef>
              <c:f>'Truc quan'!$F$46:$F$47</c:f>
              <c:numCache>
                <c:formatCode>0.0%</c:formatCode>
                <c:ptCount val="2"/>
                <c:pt idx="0">
                  <c:v>0.24167227456258411</c:v>
                </c:pt>
                <c:pt idx="1">
                  <c:v>0.20776280918727916</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A752-43DE-B057-FC997628C4A3}"/>
            </c:ext>
          </c:extLst>
        </c:ser>
        <c:ser>
          <c:idx val="1"/>
          <c:order val="1"/>
          <c:tx>
            <c:v>Mốc 0</c:v>
          </c:tx>
          <c:spPr>
            <a:solidFill>
              <a:srgbClr val="FFFFFF"/>
            </a:solidFill>
          </c:spPr>
          <c:invertIfNegative val="1"/>
          <c:cat>
            <c:strRef>
              <c:f>'Truc quan'!$E$46:$E$47</c:f>
              <c:strCache>
                <c:ptCount val="2"/>
                <c:pt idx="0">
                  <c:v>Nam</c:v>
                </c:pt>
                <c:pt idx="1">
                  <c:v>Nữ</c:v>
                </c:pt>
              </c:strCache>
            </c:strRef>
          </c:cat>
          <c:val>
            <c:numRef>
              <c:f>'Truc quan'!$G$46:$G$47</c:f>
              <c:numCache>
                <c:formatCode>0.0%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A752-43DE-B057-FC997628C4A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n-US"/>
                  <a:t>Giới tính</a:t>
                </a:r>
              </a:p>
            </c:rich>
          </c:tx>
          <c:overlay val="0"/>
        </c:title>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Tỷ lệ vỡ nợ (%)</a:t>
                </a:r>
              </a:p>
            </c:rich>
          </c:tx>
          <c:overlay val="0"/>
        </c:title>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Hình 3. Phân bố hạn mức tín dụng theo biến đích</a:t>
            </a:r>
          </a:p>
        </c:rich>
      </c:tx>
      <c:overlay val="0"/>
    </c:title>
    <c:autoTitleDeleted val="0"/>
    <c:plotArea>
      <c:layout/>
      <c:barChart>
        <c:barDir val="col"/>
        <c:grouping val="clustered"/>
        <c:varyColors val="0"/>
        <c:ser>
          <c:idx val="0"/>
          <c:order val="0"/>
          <c:tx>
            <c:v>Không vỡ nợ</c:v>
          </c:tx>
          <c:spPr>
            <a:solidFill>
              <a:srgbClr val="1F4E79"/>
            </a:solidFill>
          </c:spPr>
          <c:invertIfNegative val="1"/>
          <c:cat>
            <c:strRef>
              <c:f>'Truc quan'!$K$46:$K$61</c:f>
              <c:strCache>
                <c:ptCount val="16"/>
                <c:pt idx="0">
                  <c:v>0–&lt;50</c:v>
                </c:pt>
                <c:pt idx="1">
                  <c:v>50–&lt;100</c:v>
                </c:pt>
                <c:pt idx="2">
                  <c:v>100–&lt;150</c:v>
                </c:pt>
                <c:pt idx="3">
                  <c:v>150–&lt;200</c:v>
                </c:pt>
                <c:pt idx="4">
                  <c:v>200–&lt;250</c:v>
                </c:pt>
                <c:pt idx="5">
                  <c:v>250–&lt;300</c:v>
                </c:pt>
                <c:pt idx="6">
                  <c:v>300–&lt;350</c:v>
                </c:pt>
                <c:pt idx="7">
                  <c:v>350–&lt;400</c:v>
                </c:pt>
                <c:pt idx="8">
                  <c:v>400–&lt;450</c:v>
                </c:pt>
                <c:pt idx="9">
                  <c:v>450–&lt;500</c:v>
                </c:pt>
                <c:pt idx="10">
                  <c:v>500–&lt;550</c:v>
                </c:pt>
                <c:pt idx="11">
                  <c:v>550–&lt;600</c:v>
                </c:pt>
                <c:pt idx="12">
                  <c:v>600–&lt;650</c:v>
                </c:pt>
                <c:pt idx="13">
                  <c:v>650–&lt;700</c:v>
                </c:pt>
                <c:pt idx="14">
                  <c:v>700–&lt;750</c:v>
                </c:pt>
                <c:pt idx="15">
                  <c:v>≥750</c:v>
                </c:pt>
              </c:strCache>
            </c:strRef>
          </c:cat>
          <c:val>
            <c:numRef>
              <c:f>'Truc quan'!$L$46:$L$61</c:f>
              <c:numCache>
                <c:formatCode>0.00%</c:formatCode>
                <c:ptCount val="16"/>
                <c:pt idx="0">
                  <c:v>0.11795925355247389</c:v>
                </c:pt>
                <c:pt idx="1">
                  <c:v>0.22607430234548878</c:v>
                </c:pt>
                <c:pt idx="2">
                  <c:v>0.12540660845745591</c:v>
                </c:pt>
                <c:pt idx="3">
                  <c:v>0.12553501112823146</c:v>
                </c:pt>
                <c:pt idx="4">
                  <c:v>0.1448382126348228</c:v>
                </c:pt>
                <c:pt idx="5">
                  <c:v>7.1135079609655885E-2</c:v>
                </c:pt>
                <c:pt idx="6">
                  <c:v>5.6026365348399249E-2</c:v>
                </c:pt>
                <c:pt idx="7">
                  <c:v>5.4827940421160758E-2</c:v>
                </c:pt>
                <c:pt idx="8">
                  <c:v>2.5680534155110426E-2</c:v>
                </c:pt>
                <c:pt idx="9">
                  <c:v>1.7248758774182502E-2</c:v>
                </c:pt>
                <c:pt idx="10">
                  <c:v>2.9575415168635509E-2</c:v>
                </c:pt>
                <c:pt idx="11">
                  <c:v>2.0116418421503167E-3</c:v>
                </c:pt>
                <c:pt idx="12">
                  <c:v>1.926040061633282E-3</c:v>
                </c:pt>
                <c:pt idx="13">
                  <c:v>5.564115733607259E-4</c:v>
                </c:pt>
                <c:pt idx="14">
                  <c:v>7.7041602465331282E-4</c:v>
                </c:pt>
                <c:pt idx="15">
                  <c:v>4.2800890258517377E-4</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B6C7-4D6D-8EB1-DC0F3B29C45D}"/>
            </c:ext>
          </c:extLst>
        </c:ser>
        <c:ser>
          <c:idx val="1"/>
          <c:order val="1"/>
          <c:tx>
            <c:v>Vỡ nợ kỳ tiếp theo</c:v>
          </c:tx>
          <c:spPr>
            <a:solidFill>
              <a:srgbClr val="C55A11"/>
            </a:solidFill>
          </c:spPr>
          <c:invertIfNegative val="1"/>
          <c:cat>
            <c:strRef>
              <c:f>'Truc quan'!$K$46:$K$61</c:f>
              <c:strCache>
                <c:ptCount val="16"/>
                <c:pt idx="0">
                  <c:v>0–&lt;50</c:v>
                </c:pt>
                <c:pt idx="1">
                  <c:v>50–&lt;100</c:v>
                </c:pt>
                <c:pt idx="2">
                  <c:v>100–&lt;150</c:v>
                </c:pt>
                <c:pt idx="3">
                  <c:v>150–&lt;200</c:v>
                </c:pt>
                <c:pt idx="4">
                  <c:v>200–&lt;250</c:v>
                </c:pt>
                <c:pt idx="5">
                  <c:v>250–&lt;300</c:v>
                </c:pt>
                <c:pt idx="6">
                  <c:v>300–&lt;350</c:v>
                </c:pt>
                <c:pt idx="7">
                  <c:v>350–&lt;400</c:v>
                </c:pt>
                <c:pt idx="8">
                  <c:v>400–&lt;450</c:v>
                </c:pt>
                <c:pt idx="9">
                  <c:v>450–&lt;500</c:v>
                </c:pt>
                <c:pt idx="10">
                  <c:v>500–&lt;550</c:v>
                </c:pt>
                <c:pt idx="11">
                  <c:v>550–&lt;600</c:v>
                </c:pt>
                <c:pt idx="12">
                  <c:v>600–&lt;650</c:v>
                </c:pt>
                <c:pt idx="13">
                  <c:v>650–&lt;700</c:v>
                </c:pt>
                <c:pt idx="14">
                  <c:v>700–&lt;750</c:v>
                </c:pt>
                <c:pt idx="15">
                  <c:v>≥750</c:v>
                </c:pt>
              </c:strCache>
            </c:strRef>
          </c:cat>
          <c:val>
            <c:numRef>
              <c:f>'Truc quan'!$M$46:$M$61</c:f>
              <c:numCache>
                <c:formatCode>0.00%</c:formatCode>
                <c:ptCount val="16"/>
                <c:pt idx="0">
                  <c:v>0.23432790837854128</c:v>
                </c:pt>
                <c:pt idx="1">
                  <c:v>0.27983725135623871</c:v>
                </c:pt>
                <c:pt idx="2">
                  <c:v>0.1371308016877637</c:v>
                </c:pt>
                <c:pt idx="3">
                  <c:v>9.4484629294755873E-2</c:v>
                </c:pt>
                <c:pt idx="4">
                  <c:v>0.10533453887884267</c:v>
                </c:pt>
                <c:pt idx="5">
                  <c:v>4.3399638336347197E-2</c:v>
                </c:pt>
                <c:pt idx="6">
                  <c:v>3.3152501506931886E-2</c:v>
                </c:pt>
                <c:pt idx="7">
                  <c:v>3.4960819770946353E-2</c:v>
                </c:pt>
                <c:pt idx="8">
                  <c:v>1.2507534659433394E-2</c:v>
                </c:pt>
                <c:pt idx="9">
                  <c:v>9.1922845087402047E-3</c:v>
                </c:pt>
                <c:pt idx="10">
                  <c:v>1.2959614225437011E-2</c:v>
                </c:pt>
                <c:pt idx="11">
                  <c:v>1.3562386980108499E-3</c:v>
                </c:pt>
                <c:pt idx="12">
                  <c:v>7.5346594333936109E-4</c:v>
                </c:pt>
                <c:pt idx="13">
                  <c:v>1.5069318866787221E-4</c:v>
                </c:pt>
                <c:pt idx="14">
                  <c:v>4.5207956600361662E-4</c:v>
                </c:pt>
                <c:pt idx="15">
                  <c:v>0</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B6C7-4D6D-8EB1-DC0F3B29C45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title>
          <c:tx>
            <c:rich>
              <a:bodyPr/>
              <a:lstStyle/>
              <a:p>
                <a:r>
                  <a:rPr lang="en-US"/>
                  <a:t>Hạn mức tín dụng (nghìn NTD; khoảng 50, nhóm cuối ≥750)</a:t>
                </a:r>
              </a:p>
            </c:rich>
          </c:tx>
          <c:overlay val="0"/>
        </c:title>
        <c:numFmt formatCode="General" sourceLinked="1"/>
        <c:majorTickMark val="none"/>
        <c:minorTickMark val="none"/>
        <c:tickLblPos val="nextTo"/>
        <c:txPr>
          <a:bodyPr anchorCtr="1"/>
          <a:lstStyle/>
          <a:p>
            <a:pPr>
              <a:defRPr sz="600">
                <a:latin typeface="Arial"/>
                <a:ea typeface="Arial"/>
                <a:cs typeface="Arial"/>
              </a:defRPr>
            </a:pPr>
            <a:endParaRPr lang="en-US"/>
          </a:p>
        </c:txPr>
        <c:crossAx val="48672768"/>
        <c:crosses val="autoZero"/>
        <c:auto val="1"/>
        <c:lblAlgn val="ctr"/>
        <c:lblOffset val="100"/>
        <c:tickLblSkip val="1"/>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Tỷ trọng trong từng nhóm (%)</a:t>
                </a:r>
              </a:p>
            </c:rich>
          </c:tx>
          <c:overlay val="0"/>
        </c:title>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 val="autoZero"/>
        <c:crossBetween val="between"/>
      </c:valAx>
    </c:plotArea>
    <c:legend>
      <c:legendPos val="t"/>
      <c:overlay val="0"/>
      <c:txPr>
        <a:bodyPr anchorCtr="1"/>
        <a:lstStyle/>
        <a:p>
          <a:pPr>
            <a:defRPr sz="675">
              <a:latin typeface="Arial"/>
              <a:ea typeface="Arial"/>
              <a:cs typeface="Arial"/>
            </a:defRPr>
          </a:pPr>
          <a:endParaRPr lang="en-US"/>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sz="900">
                <a:latin typeface="Arial"/>
                <a:ea typeface="Arial"/>
                <a:cs typeface="Arial"/>
              </a:rPr>
              <a:t>Hình 4. Tỷ lệ vỡ nợ theo nhóm tuổi</a:t>
            </a:r>
          </a:p>
        </c:rich>
      </c:tx>
      <c:overlay val="0"/>
    </c:title>
    <c:autoTitleDeleted val="0"/>
    <c:plotArea>
      <c:layout/>
      <c:lineChart>
        <c:grouping val="standard"/>
        <c:varyColors val="0"/>
        <c:ser>
          <c:idx val="0"/>
          <c:order val="0"/>
          <c:tx>
            <c:v>Tỷ lệ vỡ nợ</c:v>
          </c:tx>
          <c:marker>
            <c:symbol val="none"/>
          </c:marker>
          <c:cat>
            <c:strRef>
              <c:f>'Truc quan'!$H$46:$H$50</c:f>
              <c:strCache>
                <c:ptCount val="5"/>
                <c:pt idx="0">
                  <c:v>20-29</c:v>
                </c:pt>
                <c:pt idx="1">
                  <c:v>30-39</c:v>
                </c:pt>
                <c:pt idx="2">
                  <c:v>40-49</c:v>
                </c:pt>
                <c:pt idx="3">
                  <c:v>50-59</c:v>
                </c:pt>
                <c:pt idx="4">
                  <c:v>60+</c:v>
                </c:pt>
              </c:strCache>
            </c:strRef>
          </c:cat>
          <c:val>
            <c:numRef>
              <c:f>'Truc quan'!$I$46:$I$50</c:f>
              <c:numCache>
                <c:formatCode>0.0%</c:formatCode>
                <c:ptCount val="5"/>
                <c:pt idx="0">
                  <c:v>0.22842586816385943</c:v>
                </c:pt>
                <c:pt idx="1">
                  <c:v>0.20252714006050898</c:v>
                </c:pt>
                <c:pt idx="2">
                  <c:v>0.2297339108910891</c:v>
                </c:pt>
                <c:pt idx="3">
                  <c:v>0.24861170439982913</c:v>
                </c:pt>
                <c:pt idx="4">
                  <c:v>0.2831858407079646</c:v>
                </c:pt>
              </c:numCache>
            </c:numRef>
          </c:val>
          <c:smooth val="0"/>
          <c:extLst>
            <c:ext xmlns:c16="http://schemas.microsoft.com/office/drawing/2014/chart" uri="{C3380CC4-5D6E-409C-BE32-E72D297353CC}">
              <c16:uniqueId val="{00000000-23A1-4C70-8E54-A591675D86AA}"/>
            </c:ext>
          </c:extLst>
        </c:ser>
        <c:ser>
          <c:idx val="1"/>
          <c:order val="1"/>
          <c:tx>
            <c:v>Mốc 0</c:v>
          </c:tx>
          <c:marker>
            <c:symbol val="none"/>
          </c:marker>
          <c:cat>
            <c:strRef>
              <c:f>'Truc quan'!$H$46:$H$50</c:f>
              <c:strCache>
                <c:ptCount val="5"/>
                <c:pt idx="0">
                  <c:v>20-29</c:v>
                </c:pt>
                <c:pt idx="1">
                  <c:v>30-39</c:v>
                </c:pt>
                <c:pt idx="2">
                  <c:v>40-49</c:v>
                </c:pt>
                <c:pt idx="3">
                  <c:v>50-59</c:v>
                </c:pt>
                <c:pt idx="4">
                  <c:v>60+</c:v>
                </c:pt>
              </c:strCache>
            </c:strRef>
          </c:cat>
          <c:val>
            <c:numRef>
              <c:f>'Truc quan'!$J$46:$J$50</c:f>
              <c:numCache>
                <c:formatCode>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23A1-4C70-8E54-A591675D86A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Nhóm tuổi (năm)</a:t>
                </a:r>
              </a:p>
            </c:rich>
          </c:tx>
          <c:overlay val="0"/>
        </c:title>
        <c:numFmt formatCode="General" sourceLinked="1"/>
        <c:majorTickMark val="none"/>
        <c:minorTickMark val="none"/>
        <c:tickLblPos val="nextTo"/>
        <c:txPr>
          <a:bodyPr anchorCtr="1"/>
          <a:lstStyle/>
          <a:p>
            <a:pPr>
              <a:defRPr sz="675">
                <a:latin typeface="Arial"/>
                <a:ea typeface="Arial"/>
                <a:cs typeface="Arial"/>
              </a:defRPr>
            </a:pPr>
            <a:endParaRPr lang="en-US"/>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US"/>
                  <a:t>Tỷ lệ vỡ nợ (%)</a:t>
                </a:r>
              </a:p>
            </c:rich>
          </c:tx>
          <c:overlay val="0"/>
        </c:title>
        <c:numFmt formatCode="0%" sourceLinked="0"/>
        <c:majorTickMark val="none"/>
        <c:minorTickMark val="none"/>
        <c:tickLblPos val="nextTo"/>
        <c:txPr>
          <a:bodyPr anchorCtr="1"/>
          <a:lstStyle/>
          <a:p>
            <a:pPr>
              <a:defRPr sz="675">
                <a:latin typeface="Arial"/>
                <a:ea typeface="Arial"/>
                <a:cs typeface="Arial"/>
              </a:defRPr>
            </a:pPr>
            <a:endParaRPr lang="en-US"/>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291353</xdr:rowOff>
    </xdr:from>
    <xdr:to>
      <xdr:col>8</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16</xdr:col>
      <xdr:colOff>0</xdr:colOff>
      <xdr:row>16</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10</xdr:col>
      <xdr:colOff>0</xdr:colOff>
      <xdr:row>32</xdr:row>
      <xdr:rowOff>0</xdr:rowOff>
    </xdr:to>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17</xdr:row>
      <xdr:rowOff>0</xdr:rowOff>
    </xdr:from>
    <xdr:to>
      <xdr:col>16</xdr:col>
      <xdr:colOff>0</xdr:colOff>
      <xdr:row>32</xdr:row>
      <xdr:rowOff>0</xdr:rowOff>
    </xdr:to>
    <xdr:graphicFrame macro="">
      <xdr:nvGraphicFramePr>
        <xdr:cNvPr id="5" nam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archive.ics.uci.edu/dataset/350/default+of+credit+card+cli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showGridLines="0" workbookViewId="0">
      <pane ySplit="2" topLeftCell="A3" activePane="bottomLeft" state="frozen"/>
      <selection pane="bottomLeft" activeCell="B17" sqref="B17"/>
    </sheetView>
  </sheetViews>
  <sheetFormatPr defaultRowHeight="14.25"/>
  <cols>
    <col min="1" max="1" width="25" customWidth="1"/>
    <col min="2" max="2" width="42" customWidth="1"/>
    <col min="3" max="3" width="86" customWidth="1"/>
  </cols>
  <sheetData>
    <row r="1" spans="1:6" ht="27.95" customHeight="1">
      <c r="A1" s="37" t="s">
        <v>0</v>
      </c>
      <c r="B1" s="38"/>
      <c r="C1" s="38"/>
      <c r="D1" s="38"/>
      <c r="E1" s="38"/>
      <c r="F1" s="38"/>
    </row>
    <row r="2" spans="1:6" ht="24" customHeight="1">
      <c r="A2" s="36"/>
      <c r="B2" s="32"/>
      <c r="C2" s="32"/>
      <c r="D2" s="32"/>
      <c r="E2" s="32"/>
      <c r="F2" s="32"/>
    </row>
    <row r="3" spans="1:6" ht="15">
      <c r="A3" s="1"/>
      <c r="B3" s="1"/>
      <c r="C3" s="1"/>
      <c r="D3" s="1"/>
      <c r="E3" s="1"/>
      <c r="F3" s="1"/>
    </row>
    <row r="4" spans="1:6" ht="15">
      <c r="A4" s="1"/>
      <c r="B4" s="1"/>
      <c r="C4" s="1"/>
      <c r="D4" s="1"/>
      <c r="E4" s="1"/>
      <c r="F4" s="1"/>
    </row>
    <row r="5" spans="1:6" ht="15">
      <c r="A5" s="31" t="s">
        <v>1</v>
      </c>
      <c r="B5" s="32"/>
      <c r="C5" s="32"/>
      <c r="D5" s="1"/>
      <c r="E5" s="1"/>
      <c r="F5" s="1"/>
    </row>
    <row r="6" spans="1:6" ht="15">
      <c r="A6" s="33" t="s">
        <v>2</v>
      </c>
      <c r="B6" s="32"/>
      <c r="C6" s="32"/>
      <c r="D6" s="1"/>
      <c r="E6" s="1"/>
      <c r="F6" s="1"/>
    </row>
    <row r="7" spans="1:6" ht="30" customHeight="1">
      <c r="A7" s="2" t="s">
        <v>3</v>
      </c>
      <c r="B7" s="2" t="s">
        <v>4</v>
      </c>
      <c r="C7" s="2" t="s">
        <v>5</v>
      </c>
      <c r="D7" s="1"/>
      <c r="E7" s="1"/>
      <c r="F7" s="1"/>
    </row>
    <row r="8" spans="1:6" ht="15">
      <c r="A8" s="4" t="s">
        <v>6</v>
      </c>
      <c r="B8" s="3" t="s">
        <v>7</v>
      </c>
      <c r="C8" s="3" t="s">
        <v>8</v>
      </c>
      <c r="D8" s="1"/>
      <c r="E8" s="1"/>
      <c r="F8" s="1"/>
    </row>
    <row r="9" spans="1:6" ht="15">
      <c r="A9" s="4" t="s">
        <v>9</v>
      </c>
      <c r="B9" s="3" t="s">
        <v>10</v>
      </c>
      <c r="C9" s="3" t="s">
        <v>11</v>
      </c>
      <c r="D9" s="1"/>
      <c r="E9" s="1"/>
      <c r="F9" s="1"/>
    </row>
    <row r="10" spans="1:6" ht="15">
      <c r="A10" s="4" t="s">
        <v>12</v>
      </c>
      <c r="B10" s="3" t="s">
        <v>13</v>
      </c>
      <c r="C10" s="3" t="s">
        <v>14</v>
      </c>
      <c r="D10" s="1"/>
      <c r="E10" s="1"/>
      <c r="F10" s="1"/>
    </row>
    <row r="11" spans="1:6" ht="15">
      <c r="A11" s="4" t="s">
        <v>15</v>
      </c>
      <c r="B11" s="3" t="s">
        <v>16</v>
      </c>
      <c r="C11" s="3" t="s">
        <v>17</v>
      </c>
      <c r="D11" s="1"/>
      <c r="E11" s="1"/>
      <c r="F11" s="1"/>
    </row>
    <row r="12" spans="1:6" ht="15">
      <c r="A12" s="4" t="s">
        <v>18</v>
      </c>
      <c r="B12" s="3" t="s">
        <v>19</v>
      </c>
      <c r="C12" s="3" t="s">
        <v>20</v>
      </c>
      <c r="D12" s="1"/>
      <c r="E12" s="1"/>
      <c r="F12" s="1"/>
    </row>
    <row r="13" spans="1:6" ht="15">
      <c r="A13" s="5" t="s">
        <v>21</v>
      </c>
      <c r="B13" s="6" t="s">
        <v>22</v>
      </c>
      <c r="C13" s="6" t="s">
        <v>23</v>
      </c>
      <c r="D13" s="1"/>
      <c r="E13" s="1"/>
      <c r="F13" s="1"/>
    </row>
    <row r="14" spans="1:6" ht="36" customHeight="1">
      <c r="A14" s="34"/>
      <c r="B14" s="32"/>
      <c r="C14" s="32"/>
      <c r="D14" s="1"/>
      <c r="E14" s="1"/>
      <c r="F14" s="1"/>
    </row>
    <row r="15" spans="1:6" ht="15">
      <c r="A15" s="1"/>
      <c r="B15" s="1"/>
      <c r="C15" s="1"/>
      <c r="D15" s="1"/>
      <c r="E15" s="1"/>
      <c r="F15" s="1"/>
    </row>
    <row r="16" spans="1:6" ht="15">
      <c r="A16" s="1"/>
      <c r="B16" s="1"/>
      <c r="C16" s="1"/>
      <c r="D16" s="1"/>
      <c r="E16" s="1"/>
      <c r="F16" s="1"/>
    </row>
    <row r="17" spans="1:6" ht="15">
      <c r="A17" s="1"/>
      <c r="B17" s="1"/>
      <c r="C17" s="1"/>
      <c r="D17" s="1"/>
      <c r="E17" s="1"/>
      <c r="F17" s="1"/>
    </row>
    <row r="18" spans="1:6" ht="15">
      <c r="A18" s="1"/>
      <c r="B18" s="1"/>
      <c r="C18" s="1"/>
      <c r="D18" s="1"/>
      <c r="E18" s="1"/>
      <c r="F18" s="1"/>
    </row>
  </sheetData>
  <mergeCells count="5">
    <mergeCell ref="A1:F1"/>
    <mergeCell ref="A2:F2"/>
    <mergeCell ref="A5:C5"/>
    <mergeCell ref="A6:C6"/>
    <mergeCell ref="A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0"/>
  <sheetViews>
    <sheetView showGridLines="0" zoomScale="85" zoomScaleNormal="85" workbookViewId="0">
      <pane ySplit="2" topLeftCell="A53" activePane="bottomLeft" state="frozen"/>
      <selection pane="bottomLeft" activeCell="I66" sqref="I66"/>
    </sheetView>
  </sheetViews>
  <sheetFormatPr defaultRowHeight="14.25"/>
  <cols>
    <col min="1" max="16" width="13" customWidth="1"/>
  </cols>
  <sheetData>
    <row r="1" spans="1:16" ht="27.95" customHeight="1">
      <c r="A1" s="37" t="s">
        <v>24</v>
      </c>
      <c r="B1" s="38"/>
      <c r="C1" s="38"/>
      <c r="D1" s="38"/>
      <c r="E1" s="38"/>
      <c r="F1" s="38"/>
      <c r="G1" s="38"/>
      <c r="H1" s="38"/>
      <c r="I1" s="38"/>
      <c r="J1" s="38"/>
      <c r="K1" s="38"/>
      <c r="L1" s="38"/>
      <c r="M1" s="38"/>
      <c r="N1" s="38"/>
      <c r="O1" s="38"/>
      <c r="P1" s="38"/>
    </row>
    <row r="2" spans="1:16" ht="24" customHeight="1">
      <c r="A2" s="41"/>
      <c r="B2" s="38"/>
      <c r="C2" s="38"/>
      <c r="D2" s="38"/>
      <c r="E2" s="38"/>
      <c r="F2" s="38"/>
      <c r="G2" s="38"/>
      <c r="H2" s="38"/>
      <c r="I2" s="38"/>
      <c r="J2" s="38"/>
      <c r="K2" s="38"/>
      <c r="L2" s="38"/>
      <c r="M2" s="38"/>
      <c r="N2" s="38"/>
      <c r="O2" s="38"/>
      <c r="P2" s="38"/>
    </row>
    <row r="3" spans="1:16" ht="15">
      <c r="A3" s="1"/>
      <c r="B3" s="1"/>
      <c r="C3" s="1"/>
      <c r="D3" s="1"/>
      <c r="E3" s="1"/>
      <c r="F3" s="1"/>
      <c r="G3" s="1"/>
      <c r="H3" s="1"/>
      <c r="I3" s="1"/>
      <c r="J3" s="1"/>
      <c r="K3" s="1"/>
      <c r="L3" s="1"/>
      <c r="M3" s="1"/>
      <c r="N3" s="1"/>
      <c r="O3" s="1"/>
      <c r="P3" s="1"/>
    </row>
    <row r="4" spans="1:16" ht="15">
      <c r="A4" s="1"/>
      <c r="B4" s="1"/>
      <c r="C4" s="1"/>
      <c r="D4" s="1"/>
      <c r="E4" s="1"/>
      <c r="F4" s="1"/>
      <c r="G4" s="1"/>
      <c r="H4" s="1"/>
      <c r="I4" s="1"/>
      <c r="J4" s="1"/>
      <c r="K4" s="1"/>
      <c r="L4" s="1"/>
      <c r="M4" s="1"/>
      <c r="N4" s="1"/>
      <c r="O4" s="1"/>
      <c r="P4" s="1"/>
    </row>
    <row r="5" spans="1:16" ht="15">
      <c r="A5" s="1"/>
      <c r="B5" s="1"/>
      <c r="C5" s="1"/>
      <c r="D5" s="1"/>
      <c r="E5" s="1"/>
      <c r="F5" s="1"/>
      <c r="G5" s="1"/>
      <c r="H5" s="1"/>
      <c r="I5" s="1"/>
      <c r="J5" s="1"/>
      <c r="K5" s="1"/>
      <c r="L5" s="1"/>
      <c r="M5" s="1"/>
      <c r="N5" s="1"/>
      <c r="O5" s="1"/>
      <c r="P5" s="1"/>
    </row>
    <row r="6" spans="1:16" ht="15">
      <c r="A6" s="1"/>
      <c r="B6" s="1"/>
      <c r="C6" s="1"/>
      <c r="D6" s="1"/>
      <c r="E6" s="1"/>
      <c r="F6" s="1"/>
      <c r="G6" s="1"/>
      <c r="H6" s="1"/>
      <c r="I6" s="1"/>
      <c r="J6" s="1"/>
      <c r="K6" s="1"/>
      <c r="L6" s="1"/>
      <c r="M6" s="1"/>
      <c r="N6" s="1"/>
      <c r="O6" s="1"/>
      <c r="P6" s="1"/>
    </row>
    <row r="7" spans="1:16" ht="15">
      <c r="A7" s="1"/>
      <c r="B7" s="1"/>
      <c r="C7" s="1"/>
      <c r="D7" s="1"/>
      <c r="E7" s="1"/>
      <c r="F7" s="1"/>
      <c r="G7" s="1"/>
      <c r="H7" s="1"/>
      <c r="I7" s="1"/>
      <c r="J7" s="1"/>
      <c r="K7" s="1"/>
      <c r="L7" s="1"/>
      <c r="M7" s="1"/>
      <c r="N7" s="1"/>
      <c r="O7" s="1"/>
      <c r="P7" s="1"/>
    </row>
    <row r="8" spans="1:16" ht="15">
      <c r="A8" s="1"/>
      <c r="B8" s="1"/>
      <c r="C8" s="1"/>
      <c r="D8" s="1"/>
      <c r="E8" s="1"/>
      <c r="F8" s="1"/>
      <c r="G8" s="1"/>
      <c r="H8" s="1"/>
      <c r="I8" s="1"/>
      <c r="J8" s="1"/>
      <c r="K8" s="1"/>
      <c r="L8" s="1"/>
      <c r="M8" s="1"/>
      <c r="N8" s="1"/>
      <c r="O8" s="1"/>
      <c r="P8" s="1"/>
    </row>
    <row r="9" spans="1:16" ht="15">
      <c r="A9" s="1"/>
      <c r="B9" s="1"/>
      <c r="C9" s="1"/>
      <c r="D9" s="1"/>
      <c r="E9" s="1"/>
      <c r="F9" s="1"/>
      <c r="G9" s="1"/>
      <c r="H9" s="1"/>
      <c r="I9" s="1"/>
      <c r="J9" s="1"/>
      <c r="K9" s="1"/>
      <c r="L9" s="1"/>
      <c r="M9" s="1"/>
      <c r="N9" s="1"/>
      <c r="O9" s="1"/>
      <c r="P9" s="1"/>
    </row>
    <row r="10" spans="1:16" ht="15">
      <c r="A10" s="1"/>
      <c r="B10" s="1"/>
      <c r="C10" s="1"/>
      <c r="D10" s="1"/>
      <c r="E10" s="1"/>
      <c r="F10" s="1"/>
      <c r="G10" s="1"/>
      <c r="H10" s="1"/>
      <c r="I10" s="1"/>
      <c r="J10" s="1"/>
      <c r="K10" s="1"/>
      <c r="L10" s="1"/>
      <c r="M10" s="1"/>
      <c r="N10" s="1"/>
      <c r="O10" s="1"/>
      <c r="P10" s="1"/>
    </row>
    <row r="11" spans="1:16" ht="15">
      <c r="A11" s="1"/>
      <c r="B11" s="1"/>
      <c r="C11" s="1"/>
      <c r="D11" s="1"/>
      <c r="E11" s="1"/>
      <c r="F11" s="1"/>
      <c r="G11" s="1"/>
      <c r="H11" s="1"/>
      <c r="I11" s="1"/>
      <c r="J11" s="1"/>
      <c r="K11" s="1"/>
      <c r="L11" s="1"/>
      <c r="M11" s="1"/>
      <c r="N11" s="1"/>
      <c r="O11" s="1"/>
      <c r="P11" s="1"/>
    </row>
    <row r="12" spans="1:16" ht="15">
      <c r="A12" s="1"/>
      <c r="B12" s="1"/>
      <c r="C12" s="1"/>
      <c r="D12" s="1"/>
      <c r="E12" s="1"/>
      <c r="F12" s="1"/>
      <c r="G12" s="1"/>
      <c r="H12" s="1"/>
      <c r="I12" s="1"/>
      <c r="J12" s="1"/>
      <c r="K12" s="1"/>
      <c r="L12" s="1"/>
      <c r="M12" s="1"/>
      <c r="N12" s="1"/>
      <c r="O12" s="1"/>
      <c r="P12" s="1"/>
    </row>
    <row r="13" spans="1:16" ht="15">
      <c r="A13" s="1"/>
      <c r="B13" s="1"/>
      <c r="C13" s="1"/>
      <c r="D13" s="1"/>
      <c r="E13" s="1"/>
      <c r="F13" s="1"/>
      <c r="G13" s="1"/>
      <c r="H13" s="1"/>
      <c r="I13" s="1"/>
      <c r="J13" s="1"/>
      <c r="K13" s="1"/>
      <c r="L13" s="1"/>
      <c r="M13" s="1"/>
      <c r="N13" s="1"/>
      <c r="O13" s="1"/>
      <c r="P13" s="1"/>
    </row>
    <row r="14" spans="1:16" ht="15">
      <c r="A14" s="1"/>
      <c r="B14" s="1"/>
      <c r="C14" s="1"/>
      <c r="D14" s="1"/>
      <c r="E14" s="1"/>
      <c r="F14" s="1"/>
      <c r="G14" s="1"/>
      <c r="H14" s="1"/>
      <c r="I14" s="1"/>
      <c r="J14" s="1"/>
      <c r="K14" s="1"/>
      <c r="L14" s="1"/>
      <c r="M14" s="1"/>
      <c r="N14" s="1"/>
      <c r="O14" s="1"/>
      <c r="P14" s="1"/>
    </row>
    <row r="15" spans="1:16" ht="15">
      <c r="A15" s="1"/>
      <c r="B15" s="1"/>
      <c r="C15" s="1"/>
      <c r="D15" s="1"/>
      <c r="E15" s="1"/>
      <c r="F15" s="1"/>
      <c r="G15" s="1"/>
      <c r="H15" s="1"/>
      <c r="I15" s="1"/>
      <c r="J15" s="1"/>
      <c r="K15" s="1"/>
      <c r="L15" s="1"/>
      <c r="M15" s="1"/>
      <c r="N15" s="1"/>
      <c r="O15" s="1"/>
      <c r="P15" s="1"/>
    </row>
    <row r="16" spans="1:16" ht="15">
      <c r="A16" s="1"/>
      <c r="B16" s="1"/>
      <c r="C16" s="1"/>
      <c r="D16" s="1"/>
      <c r="E16" s="1"/>
      <c r="F16" s="1"/>
      <c r="G16" s="1"/>
      <c r="H16" s="1"/>
      <c r="I16" s="1"/>
      <c r="J16" s="1"/>
      <c r="K16" s="1"/>
      <c r="L16" s="1"/>
      <c r="M16" s="1"/>
      <c r="N16" s="1"/>
      <c r="O16" s="1"/>
      <c r="P16" s="1"/>
    </row>
    <row r="17" spans="1:16" ht="15">
      <c r="A17" s="1"/>
      <c r="B17" s="1"/>
      <c r="C17" s="1"/>
      <c r="D17" s="1"/>
      <c r="E17" s="1"/>
      <c r="F17" s="1"/>
      <c r="G17" s="1"/>
      <c r="H17" s="1"/>
      <c r="I17" s="1"/>
      <c r="J17" s="1"/>
      <c r="K17" s="1"/>
      <c r="L17" s="1"/>
      <c r="M17" s="1"/>
      <c r="N17" s="1"/>
      <c r="O17" s="1"/>
      <c r="P17" s="1"/>
    </row>
    <row r="18" spans="1:16" ht="15">
      <c r="A18" s="1"/>
      <c r="B18" s="1"/>
      <c r="C18" s="1"/>
      <c r="D18" s="1"/>
      <c r="E18" s="1"/>
      <c r="F18" s="1"/>
      <c r="G18" s="1"/>
      <c r="H18" s="1"/>
      <c r="I18" s="1"/>
      <c r="J18" s="1"/>
      <c r="K18" s="1"/>
      <c r="L18" s="1"/>
      <c r="M18" s="1"/>
      <c r="N18" s="1"/>
      <c r="O18" s="1"/>
      <c r="P18" s="1"/>
    </row>
    <row r="19" spans="1:16" ht="15">
      <c r="A19" s="1"/>
      <c r="B19" s="1"/>
      <c r="C19" s="1"/>
      <c r="D19" s="1"/>
      <c r="E19" s="1"/>
      <c r="F19" s="1"/>
      <c r="G19" s="1"/>
      <c r="H19" s="1"/>
      <c r="I19" s="1"/>
      <c r="J19" s="1"/>
      <c r="K19" s="1"/>
      <c r="L19" s="1"/>
      <c r="M19" s="1"/>
      <c r="N19" s="1"/>
      <c r="O19" s="1"/>
      <c r="P19" s="1"/>
    </row>
    <row r="20" spans="1:16" ht="15">
      <c r="A20" s="1"/>
      <c r="B20" s="1"/>
      <c r="C20" s="1"/>
      <c r="D20" s="1"/>
      <c r="E20" s="1"/>
      <c r="F20" s="1"/>
      <c r="G20" s="1"/>
      <c r="H20" s="1"/>
      <c r="I20" s="1"/>
      <c r="J20" s="1"/>
      <c r="K20" s="1"/>
      <c r="L20" s="1"/>
      <c r="M20" s="1"/>
      <c r="N20" s="1"/>
      <c r="O20" s="1"/>
      <c r="P20" s="1"/>
    </row>
    <row r="21" spans="1:16" ht="15">
      <c r="A21" s="1"/>
      <c r="B21" s="1"/>
      <c r="C21" s="1"/>
      <c r="D21" s="1"/>
      <c r="E21" s="1"/>
      <c r="F21" s="1"/>
      <c r="G21" s="1"/>
      <c r="H21" s="1"/>
      <c r="I21" s="1"/>
      <c r="J21" s="1"/>
      <c r="K21" s="1"/>
      <c r="L21" s="1"/>
      <c r="M21" s="1"/>
      <c r="N21" s="1"/>
      <c r="O21" s="1"/>
      <c r="P21" s="1"/>
    </row>
    <row r="22" spans="1:16" ht="15">
      <c r="A22" s="1"/>
      <c r="B22" s="1"/>
      <c r="C22" s="1"/>
      <c r="D22" s="1"/>
      <c r="E22" s="1"/>
      <c r="F22" s="1"/>
      <c r="G22" s="1"/>
      <c r="H22" s="1"/>
      <c r="I22" s="1"/>
      <c r="J22" s="1"/>
      <c r="K22" s="1"/>
      <c r="L22" s="1"/>
      <c r="M22" s="1"/>
      <c r="N22" s="1"/>
      <c r="O22" s="1"/>
      <c r="P22" s="1"/>
    </row>
    <row r="23" spans="1:16" ht="15">
      <c r="A23" s="1"/>
      <c r="B23" s="1"/>
      <c r="C23" s="1"/>
      <c r="D23" s="1"/>
      <c r="E23" s="1"/>
      <c r="F23" s="1"/>
      <c r="G23" s="1"/>
      <c r="H23" s="1"/>
      <c r="I23" s="1"/>
      <c r="J23" s="1"/>
      <c r="K23" s="1"/>
      <c r="L23" s="1"/>
      <c r="M23" s="1"/>
      <c r="N23" s="1"/>
      <c r="O23" s="1"/>
      <c r="P23" s="1"/>
    </row>
    <row r="24" spans="1:16" ht="15">
      <c r="A24" s="1"/>
      <c r="B24" s="1"/>
      <c r="C24" s="1"/>
      <c r="D24" s="1"/>
      <c r="E24" s="1"/>
      <c r="F24" s="1"/>
      <c r="G24" s="1"/>
      <c r="H24" s="1"/>
      <c r="I24" s="1"/>
      <c r="J24" s="1"/>
      <c r="K24" s="1"/>
      <c r="L24" s="1"/>
      <c r="M24" s="1"/>
      <c r="N24" s="1"/>
      <c r="O24" s="1"/>
      <c r="P24" s="1"/>
    </row>
    <row r="25" spans="1:16" ht="15">
      <c r="A25" s="1"/>
      <c r="B25" s="1"/>
      <c r="C25" s="1"/>
      <c r="D25" s="1"/>
      <c r="E25" s="1"/>
      <c r="F25" s="1"/>
      <c r="G25" s="1"/>
      <c r="H25" s="1"/>
      <c r="I25" s="1"/>
      <c r="J25" s="1"/>
      <c r="K25" s="1"/>
      <c r="L25" s="1"/>
      <c r="M25" s="1"/>
      <c r="N25" s="1"/>
      <c r="O25" s="1"/>
      <c r="P25" s="1"/>
    </row>
    <row r="26" spans="1:16" ht="15">
      <c r="A26" s="1"/>
      <c r="B26" s="1"/>
      <c r="C26" s="1"/>
      <c r="D26" s="1"/>
      <c r="E26" s="1"/>
      <c r="F26" s="1"/>
      <c r="G26" s="1"/>
      <c r="H26" s="1"/>
      <c r="I26" s="1"/>
      <c r="J26" s="1"/>
      <c r="K26" s="1"/>
      <c r="L26" s="1"/>
      <c r="M26" s="1"/>
      <c r="N26" s="1"/>
      <c r="O26" s="1"/>
      <c r="P26" s="1"/>
    </row>
    <row r="27" spans="1:16" ht="15">
      <c r="A27" s="1"/>
      <c r="B27" s="1"/>
      <c r="C27" s="1"/>
      <c r="D27" s="1"/>
      <c r="E27" s="1"/>
      <c r="F27" s="1"/>
      <c r="G27" s="1"/>
      <c r="H27" s="1"/>
      <c r="I27" s="1"/>
      <c r="J27" s="1"/>
      <c r="K27" s="1"/>
      <c r="L27" s="1"/>
      <c r="M27" s="1"/>
      <c r="N27" s="1"/>
      <c r="O27" s="1"/>
      <c r="P27" s="1"/>
    </row>
    <row r="28" spans="1:16" ht="15">
      <c r="A28" s="1"/>
      <c r="B28" s="1"/>
      <c r="C28" s="1"/>
      <c r="D28" s="1"/>
      <c r="E28" s="1"/>
      <c r="F28" s="1"/>
      <c r="G28" s="1"/>
      <c r="H28" s="1"/>
      <c r="I28" s="1"/>
      <c r="J28" s="1"/>
      <c r="K28" s="1"/>
      <c r="L28" s="1"/>
      <c r="M28" s="1"/>
      <c r="N28" s="1"/>
      <c r="O28" s="1"/>
      <c r="P28" s="1"/>
    </row>
    <row r="29" spans="1:16" ht="15">
      <c r="A29" s="1"/>
      <c r="B29" s="1"/>
      <c r="C29" s="1"/>
      <c r="D29" s="1"/>
      <c r="E29" s="1"/>
      <c r="F29" s="1"/>
      <c r="G29" s="1"/>
      <c r="H29" s="1"/>
      <c r="I29" s="1"/>
      <c r="J29" s="1"/>
      <c r="K29" s="1"/>
      <c r="L29" s="1"/>
      <c r="M29" s="1"/>
      <c r="N29" s="1"/>
      <c r="O29" s="1"/>
      <c r="P29" s="1"/>
    </row>
    <row r="30" spans="1:16" ht="15">
      <c r="A30" s="1"/>
      <c r="B30" s="1"/>
      <c r="C30" s="1"/>
      <c r="D30" s="1"/>
      <c r="E30" s="1"/>
      <c r="F30" s="1"/>
      <c r="G30" s="1"/>
      <c r="H30" s="1"/>
      <c r="I30" s="1"/>
      <c r="J30" s="1"/>
      <c r="K30" s="1"/>
      <c r="L30" s="1"/>
      <c r="M30" s="1"/>
      <c r="N30" s="1"/>
      <c r="O30" s="1"/>
      <c r="P30" s="1"/>
    </row>
    <row r="31" spans="1:16" ht="15">
      <c r="A31" s="1"/>
      <c r="B31" s="1"/>
      <c r="C31" s="1"/>
      <c r="D31" s="1"/>
      <c r="E31" s="1"/>
      <c r="F31" s="1"/>
      <c r="G31" s="1"/>
      <c r="H31" s="1"/>
      <c r="I31" s="1"/>
      <c r="J31" s="1"/>
      <c r="K31" s="1"/>
      <c r="L31" s="1"/>
      <c r="M31" s="1"/>
      <c r="N31" s="1"/>
      <c r="O31" s="1"/>
      <c r="P31" s="1"/>
    </row>
    <row r="32" spans="1:16" ht="15">
      <c r="A32" s="1"/>
      <c r="B32" s="1"/>
      <c r="C32" s="1"/>
      <c r="D32" s="1"/>
      <c r="E32" s="1"/>
      <c r="F32" s="1"/>
      <c r="G32" s="1"/>
      <c r="H32" s="1"/>
      <c r="I32" s="1"/>
      <c r="J32" s="1"/>
      <c r="K32" s="1"/>
      <c r="L32" s="1"/>
      <c r="M32" s="1"/>
      <c r="N32" s="1"/>
      <c r="O32" s="1"/>
      <c r="P32" s="1"/>
    </row>
    <row r="33" spans="1:16" ht="15">
      <c r="A33" s="1"/>
      <c r="B33" s="1"/>
      <c r="C33" s="1"/>
      <c r="D33" s="1"/>
      <c r="E33" s="1"/>
      <c r="F33" s="1"/>
      <c r="G33" s="1"/>
      <c r="H33" s="1"/>
      <c r="I33" s="1"/>
      <c r="J33" s="1"/>
      <c r="K33" s="1"/>
      <c r="L33" s="1"/>
      <c r="M33" s="1"/>
      <c r="N33" s="1"/>
      <c r="O33" s="1"/>
      <c r="P33" s="1"/>
    </row>
    <row r="34" spans="1:16" ht="15">
      <c r="A34" s="31" t="s">
        <v>25</v>
      </c>
      <c r="B34" s="32"/>
      <c r="C34" s="32"/>
      <c r="D34" s="32"/>
      <c r="E34" s="32"/>
      <c r="F34" s="32"/>
      <c r="G34" s="32"/>
      <c r="H34" s="32"/>
      <c r="I34" s="32"/>
      <c r="J34" s="32"/>
      <c r="K34" s="32"/>
      <c r="L34" s="32"/>
      <c r="M34" s="32"/>
      <c r="N34" s="32"/>
      <c r="O34" s="32"/>
      <c r="P34" s="32"/>
    </row>
    <row r="35" spans="1:16" ht="15">
      <c r="A35" s="1"/>
      <c r="B35" s="1"/>
      <c r="C35" s="1"/>
      <c r="D35" s="1"/>
      <c r="E35" s="1"/>
      <c r="F35" s="1"/>
      <c r="G35" s="1"/>
      <c r="H35" s="1"/>
      <c r="I35" s="1"/>
      <c r="J35" s="1"/>
      <c r="K35" s="1"/>
      <c r="L35" s="1"/>
      <c r="M35" s="1"/>
      <c r="N35" s="1"/>
      <c r="O35" s="1"/>
      <c r="P35" s="1"/>
    </row>
    <row r="36" spans="1:16">
      <c r="A36" s="42" t="s">
        <v>26</v>
      </c>
      <c r="B36" s="42"/>
      <c r="C36" s="42" t="s">
        <v>27</v>
      </c>
      <c r="D36" s="42"/>
      <c r="E36" s="42" t="s">
        <v>28</v>
      </c>
      <c r="F36" s="42"/>
      <c r="G36" s="42" t="s">
        <v>29</v>
      </c>
      <c r="H36" s="42"/>
      <c r="I36" s="42"/>
      <c r="J36" s="42"/>
      <c r="K36" s="42"/>
      <c r="L36" s="42"/>
      <c r="M36" s="42"/>
      <c r="N36" s="42"/>
      <c r="O36" s="42"/>
      <c r="P36" s="42"/>
    </row>
    <row r="37" spans="1:16" ht="27.95" customHeight="1">
      <c r="A37" s="39" t="s">
        <v>21</v>
      </c>
      <c r="B37" s="39"/>
      <c r="C37" s="39" t="s">
        <v>30</v>
      </c>
      <c r="D37" s="39"/>
      <c r="E37" s="39" t="s">
        <v>31</v>
      </c>
      <c r="F37" s="39"/>
      <c r="G37" s="39" t="s">
        <v>32</v>
      </c>
      <c r="H37" s="39"/>
      <c r="I37" s="39"/>
      <c r="J37" s="39"/>
      <c r="K37" s="39"/>
      <c r="L37" s="39"/>
      <c r="M37" s="39"/>
      <c r="N37" s="39"/>
      <c r="O37" s="39"/>
      <c r="P37" s="39"/>
    </row>
    <row r="38" spans="1:16" ht="27.95" customHeight="1">
      <c r="A38" s="39" t="s">
        <v>33</v>
      </c>
      <c r="B38" s="39"/>
      <c r="C38" s="39" t="s">
        <v>34</v>
      </c>
      <c r="D38" s="39"/>
      <c r="E38" s="39" t="s">
        <v>31</v>
      </c>
      <c r="F38" s="39"/>
      <c r="G38" s="39" t="s">
        <v>35</v>
      </c>
      <c r="H38" s="39"/>
      <c r="I38" s="39"/>
      <c r="J38" s="39"/>
      <c r="K38" s="39"/>
      <c r="L38" s="39"/>
      <c r="M38" s="39"/>
      <c r="N38" s="39"/>
      <c r="O38" s="39"/>
      <c r="P38" s="39"/>
    </row>
    <row r="39" spans="1:16" ht="27.95" customHeight="1">
      <c r="A39" s="39" t="s">
        <v>36</v>
      </c>
      <c r="B39" s="39"/>
      <c r="C39" s="39" t="s">
        <v>37</v>
      </c>
      <c r="D39" s="39"/>
      <c r="E39" s="39" t="s">
        <v>38</v>
      </c>
      <c r="F39" s="39"/>
      <c r="G39" s="39" t="s">
        <v>39</v>
      </c>
      <c r="H39" s="39"/>
      <c r="I39" s="39"/>
      <c r="J39" s="39"/>
      <c r="K39" s="39"/>
      <c r="L39" s="39"/>
      <c r="M39" s="39"/>
      <c r="N39" s="39"/>
      <c r="O39" s="39"/>
      <c r="P39" s="39"/>
    </row>
    <row r="40" spans="1:16" ht="27.95" customHeight="1">
      <c r="A40" s="40" t="s">
        <v>40</v>
      </c>
      <c r="B40" s="40"/>
      <c r="C40" s="40" t="s">
        <v>41</v>
      </c>
      <c r="D40" s="40"/>
      <c r="E40" s="40" t="s">
        <v>42</v>
      </c>
      <c r="F40" s="40"/>
      <c r="G40" s="40" t="s">
        <v>43</v>
      </c>
      <c r="H40" s="40"/>
      <c r="I40" s="40"/>
      <c r="J40" s="40"/>
      <c r="K40" s="40"/>
      <c r="L40" s="40"/>
      <c r="M40" s="40"/>
      <c r="N40" s="40"/>
      <c r="O40" s="40"/>
      <c r="P40" s="40"/>
    </row>
    <row r="41" spans="1:16" ht="15">
      <c r="A41" s="1"/>
      <c r="B41" s="1"/>
      <c r="C41" s="1"/>
      <c r="D41" s="1"/>
      <c r="E41" s="1"/>
      <c r="F41" s="1"/>
      <c r="G41" s="1"/>
      <c r="H41" s="1"/>
      <c r="I41" s="1"/>
      <c r="J41" s="1"/>
      <c r="K41" s="1"/>
      <c r="L41" s="1"/>
      <c r="M41" s="1"/>
      <c r="N41" s="1"/>
      <c r="O41" s="1"/>
      <c r="P41" s="1"/>
    </row>
    <row r="42" spans="1:16" ht="15">
      <c r="A42" s="1"/>
      <c r="B42" s="1"/>
      <c r="C42" s="1"/>
      <c r="D42" s="1"/>
      <c r="E42" s="1"/>
      <c r="F42" s="1"/>
      <c r="G42" s="1"/>
      <c r="H42" s="1"/>
      <c r="I42" s="1"/>
      <c r="J42" s="1"/>
      <c r="K42" s="1"/>
      <c r="L42" s="1"/>
      <c r="M42" s="1"/>
      <c r="N42" s="1"/>
      <c r="O42" s="1"/>
      <c r="P42" s="1"/>
    </row>
    <row r="43" spans="1:16" ht="15">
      <c r="A43" s="31" t="s">
        <v>44</v>
      </c>
      <c r="B43" s="32"/>
      <c r="C43" s="32"/>
      <c r="D43" s="32"/>
      <c r="E43" s="32"/>
      <c r="F43" s="32"/>
      <c r="G43" s="32"/>
      <c r="H43" s="32"/>
      <c r="I43" s="32"/>
      <c r="J43" s="32"/>
      <c r="K43" s="32"/>
      <c r="L43" s="32"/>
      <c r="M43" s="32"/>
      <c r="N43" s="32"/>
      <c r="O43" s="32"/>
      <c r="P43" s="32"/>
    </row>
    <row r="44" spans="1:16" ht="15">
      <c r="A44" s="1"/>
      <c r="B44" s="1"/>
      <c r="C44" s="1"/>
      <c r="D44" s="1"/>
      <c r="E44" s="1"/>
      <c r="F44" s="1"/>
      <c r="G44" s="1"/>
      <c r="H44" s="1"/>
      <c r="I44" s="1"/>
      <c r="J44" s="1"/>
      <c r="K44" s="1"/>
      <c r="L44" s="1"/>
      <c r="M44" s="1"/>
      <c r="N44" s="1"/>
      <c r="O44" s="1"/>
      <c r="P44" s="1"/>
    </row>
    <row r="45" spans="1:16" ht="15">
      <c r="A45" s="7" t="s">
        <v>45</v>
      </c>
      <c r="B45" s="7" t="s">
        <v>46</v>
      </c>
      <c r="C45" s="7" t="s">
        <v>47</v>
      </c>
      <c r="D45" s="1"/>
      <c r="E45" s="7" t="s">
        <v>48</v>
      </c>
      <c r="F45" s="7" t="s">
        <v>49</v>
      </c>
      <c r="G45" s="7" t="s">
        <v>50</v>
      </c>
      <c r="H45" s="7" t="s">
        <v>51</v>
      </c>
      <c r="I45" s="7" t="s">
        <v>49</v>
      </c>
      <c r="J45" s="7" t="s">
        <v>50</v>
      </c>
      <c r="K45" s="7" t="s">
        <v>52</v>
      </c>
      <c r="L45" s="7" t="s">
        <v>53</v>
      </c>
      <c r="M45" s="7" t="s">
        <v>54</v>
      </c>
      <c r="N45" s="1"/>
      <c r="O45" s="1"/>
      <c r="P45" s="1"/>
    </row>
    <row r="46" spans="1:16" ht="15">
      <c r="A46" s="8" t="s">
        <v>53</v>
      </c>
      <c r="B46" s="10">
        <v>23364</v>
      </c>
      <c r="C46" s="12">
        <v>0.77880000000000005</v>
      </c>
      <c r="D46" s="1"/>
      <c r="E46" s="8" t="s">
        <v>55</v>
      </c>
      <c r="F46" s="12">
        <v>0.24167227456258411</v>
      </c>
      <c r="G46" s="12">
        <v>0</v>
      </c>
      <c r="H46" s="8" t="s">
        <v>56</v>
      </c>
      <c r="I46" s="12">
        <v>0.22842586816385943</v>
      </c>
      <c r="J46" s="12">
        <v>0</v>
      </c>
      <c r="K46" s="8" t="s">
        <v>57</v>
      </c>
      <c r="L46" s="14">
        <v>0.11795925355247389</v>
      </c>
      <c r="M46" s="14">
        <v>0.23432790837854128</v>
      </c>
      <c r="N46" s="1"/>
      <c r="O46" s="1"/>
      <c r="P46" s="1"/>
    </row>
    <row r="47" spans="1:16" ht="15">
      <c r="A47" s="9" t="s">
        <v>54</v>
      </c>
      <c r="B47" s="11">
        <v>6636</v>
      </c>
      <c r="C47" s="13">
        <v>0.22120000000000001</v>
      </c>
      <c r="D47" s="1"/>
      <c r="E47" s="9" t="s">
        <v>58</v>
      </c>
      <c r="F47" s="13">
        <v>0.20776280918727916</v>
      </c>
      <c r="G47" s="13">
        <v>0</v>
      </c>
      <c r="H47" s="8" t="s">
        <v>59</v>
      </c>
      <c r="I47" s="12">
        <v>0.20252714006050898</v>
      </c>
      <c r="J47" s="12">
        <v>0</v>
      </c>
      <c r="K47" s="8" t="s">
        <v>60</v>
      </c>
      <c r="L47" s="14">
        <v>0.22607430234548878</v>
      </c>
      <c r="M47" s="14">
        <v>0.27983725135623871</v>
      </c>
      <c r="N47" s="1"/>
      <c r="O47" s="1"/>
      <c r="P47" s="1"/>
    </row>
    <row r="48" spans="1:16" ht="15">
      <c r="A48" s="1"/>
      <c r="B48" s="1"/>
      <c r="C48" s="1"/>
      <c r="D48" s="1"/>
      <c r="E48" s="1"/>
      <c r="F48" s="1"/>
      <c r="G48" s="1"/>
      <c r="H48" s="8" t="s">
        <v>61</v>
      </c>
      <c r="I48" s="12">
        <v>0.2297339108910891</v>
      </c>
      <c r="J48" s="12">
        <v>0</v>
      </c>
      <c r="K48" s="8" t="s">
        <v>62</v>
      </c>
      <c r="L48" s="14">
        <v>0.12540660845745591</v>
      </c>
      <c r="M48" s="14">
        <v>0.1371308016877637</v>
      </c>
      <c r="N48" s="1"/>
      <c r="O48" s="1"/>
      <c r="P48" s="1"/>
    </row>
    <row r="49" spans="1:16" ht="15">
      <c r="A49" s="1"/>
      <c r="B49" s="1"/>
      <c r="C49" s="1"/>
      <c r="D49" s="1"/>
      <c r="E49" s="1"/>
      <c r="F49" s="1"/>
      <c r="G49" s="1"/>
      <c r="H49" s="8" t="s">
        <v>63</v>
      </c>
      <c r="I49" s="12">
        <v>0.24861170439982913</v>
      </c>
      <c r="J49" s="12">
        <v>0</v>
      </c>
      <c r="K49" s="8" t="s">
        <v>64</v>
      </c>
      <c r="L49" s="14">
        <v>0.12553501112823146</v>
      </c>
      <c r="M49" s="14">
        <v>9.4484629294755873E-2</v>
      </c>
      <c r="N49" s="1"/>
      <c r="O49" s="1"/>
      <c r="P49" s="1"/>
    </row>
    <row r="50" spans="1:16" ht="15">
      <c r="A50" s="1"/>
      <c r="B50" s="1"/>
      <c r="C50" s="1"/>
      <c r="D50" s="1"/>
      <c r="E50" s="1"/>
      <c r="F50" s="1"/>
      <c r="G50" s="1"/>
      <c r="H50" s="9" t="s">
        <v>65</v>
      </c>
      <c r="I50" s="13">
        <v>0.2831858407079646</v>
      </c>
      <c r="J50" s="13">
        <v>0</v>
      </c>
      <c r="K50" s="8" t="s">
        <v>66</v>
      </c>
      <c r="L50" s="14">
        <v>0.1448382126348228</v>
      </c>
      <c r="M50" s="14">
        <v>0.10533453887884267</v>
      </c>
      <c r="N50" s="1"/>
      <c r="O50" s="1"/>
      <c r="P50" s="1"/>
    </row>
    <row r="51" spans="1:16" ht="15">
      <c r="A51" s="1"/>
      <c r="B51" s="1"/>
      <c r="C51" s="1"/>
      <c r="D51" s="1"/>
      <c r="E51" s="1"/>
      <c r="F51" s="1"/>
      <c r="G51" s="1"/>
      <c r="H51" s="1"/>
      <c r="I51" s="1"/>
      <c r="J51" s="1"/>
      <c r="K51" s="8" t="s">
        <v>67</v>
      </c>
      <c r="L51" s="14">
        <v>7.1135079609655885E-2</v>
      </c>
      <c r="M51" s="14">
        <v>4.3399638336347197E-2</v>
      </c>
      <c r="N51" s="1"/>
      <c r="O51" s="1"/>
      <c r="P51" s="1"/>
    </row>
    <row r="52" spans="1:16" ht="15">
      <c r="A52" s="1"/>
      <c r="B52" s="1"/>
      <c r="C52" s="1"/>
      <c r="D52" s="1"/>
      <c r="E52" s="1"/>
      <c r="F52" s="1"/>
      <c r="G52" s="1"/>
      <c r="H52" s="1"/>
      <c r="I52" s="1"/>
      <c r="J52" s="1"/>
      <c r="K52" s="8" t="s">
        <v>68</v>
      </c>
      <c r="L52" s="14">
        <v>5.6026365348399249E-2</v>
      </c>
      <c r="M52" s="14">
        <v>3.3152501506931886E-2</v>
      </c>
      <c r="N52" s="1"/>
      <c r="O52" s="1"/>
      <c r="P52" s="1"/>
    </row>
    <row r="53" spans="1:16" ht="15">
      <c r="A53" s="1"/>
      <c r="B53" s="1"/>
      <c r="C53" s="1"/>
      <c r="D53" s="1"/>
      <c r="E53" s="1"/>
      <c r="F53" s="1"/>
      <c r="G53" s="1"/>
      <c r="H53" s="1"/>
      <c r="I53" s="1"/>
      <c r="J53" s="1"/>
      <c r="K53" s="8" t="s">
        <v>69</v>
      </c>
      <c r="L53" s="14">
        <v>5.4827940421160758E-2</v>
      </c>
      <c r="M53" s="14">
        <v>3.4960819770946353E-2</v>
      </c>
      <c r="N53" s="1"/>
      <c r="O53" s="1"/>
      <c r="P53" s="1"/>
    </row>
    <row r="54" spans="1:16" ht="15">
      <c r="A54" s="1"/>
      <c r="B54" s="1"/>
      <c r="C54" s="1"/>
      <c r="D54" s="1"/>
      <c r="E54" s="1"/>
      <c r="F54" s="1"/>
      <c r="G54" s="1"/>
      <c r="H54" s="1"/>
      <c r="I54" s="1"/>
      <c r="J54" s="1"/>
      <c r="K54" s="8" t="s">
        <v>70</v>
      </c>
      <c r="L54" s="14">
        <v>2.5680534155110426E-2</v>
      </c>
      <c r="M54" s="14">
        <v>1.2507534659433394E-2</v>
      </c>
      <c r="N54" s="1"/>
      <c r="O54" s="1"/>
      <c r="P54" s="1"/>
    </row>
    <row r="55" spans="1:16" ht="15">
      <c r="A55" s="1"/>
      <c r="B55" s="1"/>
      <c r="C55" s="1"/>
      <c r="D55" s="1"/>
      <c r="E55" s="1"/>
      <c r="F55" s="1"/>
      <c r="G55" s="1"/>
      <c r="H55" s="1"/>
      <c r="I55" s="1"/>
      <c r="J55" s="1"/>
      <c r="K55" s="8" t="s">
        <v>71</v>
      </c>
      <c r="L55" s="14">
        <v>1.7248758774182502E-2</v>
      </c>
      <c r="M55" s="14">
        <v>9.1922845087402047E-3</v>
      </c>
      <c r="N55" s="1"/>
      <c r="O55" s="1"/>
      <c r="P55" s="1"/>
    </row>
    <row r="56" spans="1:16" ht="15">
      <c r="A56" s="1"/>
      <c r="B56" s="1"/>
      <c r="C56" s="1"/>
      <c r="D56" s="1"/>
      <c r="E56" s="1"/>
      <c r="F56" s="1"/>
      <c r="G56" s="1"/>
      <c r="H56" s="1"/>
      <c r="I56" s="1"/>
      <c r="J56" s="1"/>
      <c r="K56" s="8" t="s">
        <v>72</v>
      </c>
      <c r="L56" s="14">
        <v>2.9575415168635509E-2</v>
      </c>
      <c r="M56" s="14">
        <v>1.2959614225437011E-2</v>
      </c>
      <c r="N56" s="1"/>
      <c r="O56" s="1"/>
      <c r="P56" s="1"/>
    </row>
    <row r="57" spans="1:16" ht="15">
      <c r="A57" s="1"/>
      <c r="B57" s="1"/>
      <c r="C57" s="1"/>
      <c r="D57" s="1"/>
      <c r="E57" s="1"/>
      <c r="F57" s="1"/>
      <c r="G57" s="1"/>
      <c r="H57" s="1"/>
      <c r="I57" s="1"/>
      <c r="J57" s="1"/>
      <c r="K57" s="8" t="s">
        <v>73</v>
      </c>
      <c r="L57" s="14">
        <v>2.0116418421503167E-3</v>
      </c>
      <c r="M57" s="14">
        <v>1.3562386980108499E-3</v>
      </c>
      <c r="N57" s="1"/>
      <c r="O57" s="1"/>
      <c r="P57" s="1"/>
    </row>
    <row r="58" spans="1:16" ht="15">
      <c r="A58" s="1"/>
      <c r="B58" s="1"/>
      <c r="C58" s="1"/>
      <c r="D58" s="1"/>
      <c r="E58" s="1"/>
      <c r="F58" s="1"/>
      <c r="G58" s="1"/>
      <c r="H58" s="1"/>
      <c r="I58" s="1"/>
      <c r="J58" s="1"/>
      <c r="K58" s="8" t="s">
        <v>74</v>
      </c>
      <c r="L58" s="14">
        <v>1.926040061633282E-3</v>
      </c>
      <c r="M58" s="14">
        <v>7.5346594333936109E-4</v>
      </c>
      <c r="N58" s="1"/>
      <c r="O58" s="1"/>
      <c r="P58" s="1"/>
    </row>
    <row r="59" spans="1:16" ht="15">
      <c r="A59" s="1"/>
      <c r="B59" s="1"/>
      <c r="C59" s="1"/>
      <c r="D59" s="1"/>
      <c r="E59" s="1"/>
      <c r="F59" s="1"/>
      <c r="G59" s="1"/>
      <c r="H59" s="1"/>
      <c r="I59" s="1"/>
      <c r="J59" s="1"/>
      <c r="K59" s="8" t="s">
        <v>75</v>
      </c>
      <c r="L59" s="14">
        <v>5.564115733607259E-4</v>
      </c>
      <c r="M59" s="14">
        <v>1.5069318866787221E-4</v>
      </c>
      <c r="N59" s="1"/>
      <c r="O59" s="1"/>
      <c r="P59" s="1"/>
    </row>
    <row r="60" spans="1:16" ht="15">
      <c r="A60" s="1"/>
      <c r="B60" s="1"/>
      <c r="C60" s="1"/>
      <c r="D60" s="1"/>
      <c r="E60" s="1"/>
      <c r="F60" s="1"/>
      <c r="G60" s="1"/>
      <c r="H60" s="1"/>
      <c r="I60" s="1"/>
      <c r="J60" s="1"/>
      <c r="K60" s="8" t="s">
        <v>76</v>
      </c>
      <c r="L60" s="14">
        <v>7.7041602465331282E-4</v>
      </c>
      <c r="M60" s="14">
        <v>4.5207956600361662E-4</v>
      </c>
      <c r="N60" s="1"/>
      <c r="O60" s="1"/>
      <c r="P60" s="1"/>
    </row>
    <row r="61" spans="1:16" ht="15">
      <c r="A61" s="1"/>
      <c r="B61" s="1"/>
      <c r="C61" s="1"/>
      <c r="D61" s="1"/>
      <c r="E61" s="1"/>
      <c r="F61" s="1"/>
      <c r="G61" s="1"/>
      <c r="H61" s="1"/>
      <c r="I61" s="1"/>
      <c r="J61" s="1"/>
      <c r="K61" s="9" t="s">
        <v>77</v>
      </c>
      <c r="L61" s="15">
        <v>4.2800890258517377E-4</v>
      </c>
      <c r="M61" s="15">
        <v>0</v>
      </c>
      <c r="N61" s="1"/>
      <c r="O61" s="1"/>
      <c r="P61" s="1"/>
    </row>
    <row r="62" spans="1:16" ht="15">
      <c r="A62" s="1"/>
      <c r="B62" s="1"/>
      <c r="C62" s="1"/>
      <c r="D62" s="1"/>
      <c r="E62" s="1"/>
      <c r="F62" s="1"/>
      <c r="G62" s="1"/>
      <c r="H62" s="1"/>
      <c r="I62" s="1"/>
      <c r="J62" s="1"/>
      <c r="K62" s="1"/>
      <c r="L62" s="1"/>
      <c r="M62" s="1"/>
      <c r="N62" s="1"/>
      <c r="O62" s="1"/>
      <c r="P62" s="1"/>
    </row>
    <row r="63" spans="1:16" ht="15">
      <c r="A63" s="1"/>
      <c r="B63" s="1"/>
      <c r="C63" s="1"/>
      <c r="D63" s="1"/>
      <c r="E63" s="1"/>
      <c r="F63" s="1"/>
      <c r="G63" s="1"/>
      <c r="H63" s="1"/>
      <c r="I63" s="1"/>
      <c r="J63" s="1"/>
      <c r="K63" s="1"/>
      <c r="L63" s="1"/>
      <c r="M63" s="1"/>
      <c r="N63" s="1"/>
      <c r="O63" s="1"/>
      <c r="P63" s="1"/>
    </row>
    <row r="64" spans="1:16" ht="15">
      <c r="A64" s="1"/>
      <c r="B64" s="1"/>
      <c r="C64" s="1"/>
      <c r="D64" s="1"/>
      <c r="E64" s="1"/>
      <c r="F64" s="1"/>
      <c r="G64" s="1"/>
      <c r="H64" s="1"/>
      <c r="I64" s="1"/>
      <c r="J64" s="1"/>
      <c r="K64" s="1"/>
      <c r="L64" s="1"/>
      <c r="M64" s="1"/>
      <c r="N64" s="1"/>
      <c r="O64" s="1"/>
      <c r="P64" s="1"/>
    </row>
    <row r="65" spans="1:16" ht="15">
      <c r="A65" s="1"/>
      <c r="B65" s="1"/>
      <c r="C65" s="1"/>
      <c r="D65" s="1"/>
      <c r="E65" s="1"/>
      <c r="F65" s="1"/>
      <c r="G65" s="1"/>
      <c r="H65" s="1"/>
      <c r="I65" s="1"/>
      <c r="J65" s="1"/>
      <c r="K65" s="1"/>
      <c r="L65" s="1"/>
      <c r="M65" s="1"/>
      <c r="N65" s="1"/>
      <c r="O65" s="1"/>
      <c r="P65" s="1"/>
    </row>
    <row r="66" spans="1:16" ht="15">
      <c r="A66" s="1"/>
      <c r="B66" s="1"/>
      <c r="C66" s="1"/>
      <c r="D66" s="1"/>
      <c r="E66" s="1"/>
      <c r="F66" s="1"/>
      <c r="G66" s="1"/>
      <c r="H66" s="1"/>
      <c r="I66" s="1"/>
      <c r="J66" s="1"/>
      <c r="K66" s="1"/>
      <c r="L66" s="1"/>
      <c r="M66" s="1"/>
      <c r="N66" s="1"/>
      <c r="O66" s="1"/>
      <c r="P66" s="1"/>
    </row>
    <row r="67" spans="1:16" ht="15">
      <c r="A67" s="1"/>
      <c r="B67" s="1"/>
      <c r="C67" s="1"/>
      <c r="D67" s="1"/>
      <c r="E67" s="1"/>
      <c r="F67" s="1"/>
      <c r="G67" s="1"/>
      <c r="H67" s="1"/>
      <c r="I67" s="1"/>
      <c r="J67" s="1"/>
      <c r="K67" s="1"/>
      <c r="L67" s="1"/>
      <c r="M67" s="1"/>
      <c r="N67" s="1"/>
      <c r="O67" s="1"/>
      <c r="P67" s="1"/>
    </row>
    <row r="68" spans="1:16" ht="44.1" customHeight="1">
      <c r="A68" s="34"/>
      <c r="B68" s="32"/>
      <c r="C68" s="32"/>
      <c r="D68" s="32"/>
      <c r="E68" s="32"/>
      <c r="F68" s="32"/>
      <c r="G68" s="32"/>
      <c r="H68" s="32"/>
      <c r="I68" s="32"/>
      <c r="J68" s="32"/>
      <c r="K68" s="32"/>
      <c r="L68" s="32"/>
      <c r="M68" s="32"/>
      <c r="N68" s="32"/>
      <c r="O68" s="32"/>
      <c r="P68" s="32"/>
    </row>
    <row r="69" spans="1:16">
      <c r="A69" s="32"/>
      <c r="B69" s="32"/>
      <c r="C69" s="32"/>
      <c r="D69" s="32"/>
      <c r="E69" s="32"/>
      <c r="F69" s="32"/>
      <c r="G69" s="32"/>
      <c r="H69" s="32"/>
      <c r="I69" s="32"/>
      <c r="J69" s="32"/>
      <c r="K69" s="32"/>
      <c r="L69" s="32"/>
      <c r="M69" s="32"/>
      <c r="N69" s="32"/>
      <c r="O69" s="32"/>
      <c r="P69" s="32"/>
    </row>
    <row r="70" spans="1:16">
      <c r="A70" s="32"/>
      <c r="B70" s="32"/>
      <c r="C70" s="32"/>
      <c r="D70" s="32"/>
      <c r="E70" s="32"/>
      <c r="F70" s="32"/>
      <c r="G70" s="32"/>
      <c r="H70" s="32"/>
      <c r="I70" s="32"/>
      <c r="J70" s="32"/>
      <c r="K70" s="32"/>
      <c r="L70" s="32"/>
      <c r="M70" s="32"/>
      <c r="N70" s="32"/>
      <c r="O70" s="32"/>
      <c r="P70" s="32"/>
    </row>
  </sheetData>
  <mergeCells count="25">
    <mergeCell ref="A1:P1"/>
    <mergeCell ref="A2:P2"/>
    <mergeCell ref="A34:P34"/>
    <mergeCell ref="A36:B36"/>
    <mergeCell ref="C36:D36"/>
    <mergeCell ref="E36:F36"/>
    <mergeCell ref="G36:P36"/>
    <mergeCell ref="A37:B37"/>
    <mergeCell ref="C37:D37"/>
    <mergeCell ref="E37:F37"/>
    <mergeCell ref="G37:P37"/>
    <mergeCell ref="A38:B38"/>
    <mergeCell ref="C38:D38"/>
    <mergeCell ref="E38:F38"/>
    <mergeCell ref="G38:P38"/>
    <mergeCell ref="A43:P43"/>
    <mergeCell ref="A68:P70"/>
    <mergeCell ref="A39:B39"/>
    <mergeCell ref="C39:D39"/>
    <mergeCell ref="E39:F39"/>
    <mergeCell ref="G39:P39"/>
    <mergeCell ref="A40:B40"/>
    <mergeCell ref="C40:D40"/>
    <mergeCell ref="E40:F40"/>
    <mergeCell ref="G40:P4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0"/>
  <sheetViews>
    <sheetView showGridLines="0" workbookViewId="0">
      <pane ySplit="2" topLeftCell="A23" activePane="bottomLeft" state="frozen"/>
      <selection pane="bottomLeft" activeCell="A27" sqref="A27:D27"/>
    </sheetView>
  </sheetViews>
  <sheetFormatPr defaultRowHeight="14.25"/>
  <cols>
    <col min="1" max="1" width="14" customWidth="1"/>
    <col min="2" max="3" width="17" customWidth="1"/>
    <col min="4" max="4" width="19" customWidth="1"/>
    <col min="5" max="5" width="31" customWidth="1"/>
  </cols>
  <sheetData>
    <row r="1" spans="1:5" ht="27.95" customHeight="1">
      <c r="A1" s="37" t="s">
        <v>78</v>
      </c>
      <c r="B1" s="38"/>
      <c r="C1" s="38"/>
      <c r="D1" s="38"/>
      <c r="E1" s="38"/>
    </row>
    <row r="2" spans="1:5" ht="24" customHeight="1">
      <c r="A2" s="36"/>
      <c r="B2" s="32"/>
      <c r="C2" s="32"/>
      <c r="D2" s="32"/>
      <c r="E2" s="32"/>
    </row>
    <row r="3" spans="1:5" ht="15">
      <c r="A3" s="1"/>
      <c r="B3" s="1"/>
      <c r="C3" s="1"/>
      <c r="D3" s="1"/>
      <c r="E3" s="1"/>
    </row>
    <row r="4" spans="1:5" ht="15">
      <c r="A4" s="1"/>
      <c r="B4" s="1"/>
      <c r="C4" s="1"/>
      <c r="D4" s="1"/>
      <c r="E4" s="1"/>
    </row>
    <row r="5" spans="1:5" ht="15">
      <c r="A5" s="31" t="s">
        <v>79</v>
      </c>
      <c r="B5" s="32"/>
      <c r="C5" s="32"/>
      <c r="D5" s="32"/>
      <c r="E5" s="32"/>
    </row>
    <row r="6" spans="1:5" ht="15">
      <c r="A6" s="33" t="s">
        <v>80</v>
      </c>
      <c r="B6" s="32"/>
      <c r="C6" s="32"/>
      <c r="D6" s="32"/>
      <c r="E6" s="32"/>
    </row>
    <row r="7" spans="1:5" ht="30" customHeight="1">
      <c r="A7" s="2" t="s">
        <v>81</v>
      </c>
      <c r="B7" s="2" t="s">
        <v>82</v>
      </c>
      <c r="C7" s="2" t="s">
        <v>83</v>
      </c>
      <c r="D7" s="2" t="s">
        <v>84</v>
      </c>
      <c r="E7" s="2" t="s">
        <v>85</v>
      </c>
    </row>
    <row r="8" spans="1:5" ht="45">
      <c r="A8" s="4" t="s">
        <v>86</v>
      </c>
      <c r="B8" s="3" t="s">
        <v>87</v>
      </c>
      <c r="C8" s="16">
        <v>0</v>
      </c>
      <c r="D8" s="3" t="s">
        <v>88</v>
      </c>
      <c r="E8" s="3" t="s">
        <v>89</v>
      </c>
    </row>
    <row r="9" spans="1:5" ht="60">
      <c r="A9" s="4" t="s">
        <v>90</v>
      </c>
      <c r="B9" s="3" t="s">
        <v>91</v>
      </c>
      <c r="C9" s="16">
        <v>345</v>
      </c>
      <c r="D9" s="3" t="s">
        <v>92</v>
      </c>
      <c r="E9" s="3" t="s">
        <v>93</v>
      </c>
    </row>
    <row r="10" spans="1:5" ht="45">
      <c r="A10" s="4" t="s">
        <v>94</v>
      </c>
      <c r="B10" s="3" t="s">
        <v>95</v>
      </c>
      <c r="C10" s="16">
        <v>54</v>
      </c>
      <c r="D10" s="3" t="s">
        <v>96</v>
      </c>
      <c r="E10" s="3" t="s">
        <v>97</v>
      </c>
    </row>
    <row r="11" spans="1:5" ht="30">
      <c r="A11" s="4" t="s">
        <v>98</v>
      </c>
      <c r="B11" s="3" t="s">
        <v>99</v>
      </c>
      <c r="C11" s="16">
        <v>0</v>
      </c>
      <c r="D11" s="3" t="s">
        <v>100</v>
      </c>
      <c r="E11" s="3" t="s">
        <v>101</v>
      </c>
    </row>
    <row r="12" spans="1:5" ht="45">
      <c r="A12" s="5" t="s">
        <v>102</v>
      </c>
      <c r="B12" s="6" t="s">
        <v>103</v>
      </c>
      <c r="C12" s="17">
        <v>0</v>
      </c>
      <c r="D12" s="6" t="s">
        <v>104</v>
      </c>
      <c r="E12" s="6" t="s">
        <v>105</v>
      </c>
    </row>
    <row r="13" spans="1:5" ht="36" customHeight="1">
      <c r="A13" s="34"/>
      <c r="B13" s="32"/>
      <c r="C13" s="32"/>
      <c r="D13" s="32"/>
      <c r="E13" s="32"/>
    </row>
    <row r="14" spans="1:5" ht="15">
      <c r="A14" s="1"/>
      <c r="B14" s="1"/>
      <c r="C14" s="1"/>
      <c r="D14" s="1"/>
      <c r="E14" s="1"/>
    </row>
    <row r="15" spans="1:5" ht="15">
      <c r="A15" s="31" t="s">
        <v>106</v>
      </c>
      <c r="B15" s="32"/>
      <c r="C15" s="32"/>
      <c r="D15" s="32"/>
      <c r="E15" s="1"/>
    </row>
    <row r="16" spans="1:5" ht="15">
      <c r="A16" s="33" t="s">
        <v>107</v>
      </c>
      <c r="B16" s="32"/>
      <c r="C16" s="32"/>
      <c r="D16" s="32"/>
      <c r="E16" s="1"/>
    </row>
    <row r="17" spans="1:5" ht="30" customHeight="1">
      <c r="A17" s="2" t="s">
        <v>108</v>
      </c>
      <c r="B17" s="2" t="s">
        <v>109</v>
      </c>
      <c r="C17" s="2" t="s">
        <v>110</v>
      </c>
      <c r="D17" s="2" t="s">
        <v>111</v>
      </c>
      <c r="E17" s="1"/>
    </row>
    <row r="18" spans="1:5" ht="15">
      <c r="A18" s="18">
        <v>0</v>
      </c>
      <c r="B18" s="16">
        <v>14</v>
      </c>
      <c r="C18" s="16">
        <v>0</v>
      </c>
      <c r="D18" s="20">
        <f t="shared" ref="D18:D24" si="0">C18-B18</f>
        <v>-14</v>
      </c>
      <c r="E18" s="1"/>
    </row>
    <row r="19" spans="1:5" ht="15">
      <c r="A19" s="18">
        <v>1</v>
      </c>
      <c r="B19" s="16">
        <v>10585</v>
      </c>
      <c r="C19" s="16">
        <v>10585</v>
      </c>
      <c r="D19" s="20">
        <f t="shared" si="0"/>
        <v>0</v>
      </c>
      <c r="E19" s="1"/>
    </row>
    <row r="20" spans="1:5" ht="15">
      <c r="A20" s="18">
        <v>2</v>
      </c>
      <c r="B20" s="16">
        <v>14030</v>
      </c>
      <c r="C20" s="16">
        <v>14030</v>
      </c>
      <c r="D20" s="20">
        <f t="shared" si="0"/>
        <v>0</v>
      </c>
      <c r="E20" s="1"/>
    </row>
    <row r="21" spans="1:5" ht="15">
      <c r="A21" s="18">
        <v>3</v>
      </c>
      <c r="B21" s="16">
        <v>4917</v>
      </c>
      <c r="C21" s="16">
        <v>4917</v>
      </c>
      <c r="D21" s="20">
        <f t="shared" si="0"/>
        <v>0</v>
      </c>
      <c r="E21" s="1"/>
    </row>
    <row r="22" spans="1:5" ht="15">
      <c r="A22" s="18">
        <v>4</v>
      </c>
      <c r="B22" s="16">
        <v>123</v>
      </c>
      <c r="C22" s="16">
        <v>468</v>
      </c>
      <c r="D22" s="20">
        <f t="shared" si="0"/>
        <v>345</v>
      </c>
      <c r="E22" s="1"/>
    </row>
    <row r="23" spans="1:5" ht="15">
      <c r="A23" s="18">
        <v>5</v>
      </c>
      <c r="B23" s="16">
        <v>280</v>
      </c>
      <c r="C23" s="16">
        <v>0</v>
      </c>
      <c r="D23" s="20">
        <f t="shared" si="0"/>
        <v>-280</v>
      </c>
      <c r="E23" s="1"/>
    </row>
    <row r="24" spans="1:5" ht="15">
      <c r="A24" s="19">
        <v>6</v>
      </c>
      <c r="B24" s="17">
        <v>51</v>
      </c>
      <c r="C24" s="17">
        <v>0</v>
      </c>
      <c r="D24" s="21">
        <f t="shared" si="0"/>
        <v>-51</v>
      </c>
      <c r="E24" s="1"/>
    </row>
    <row r="25" spans="1:5" ht="36" customHeight="1">
      <c r="A25" s="34" t="s">
        <v>112</v>
      </c>
      <c r="B25" s="32"/>
      <c r="C25" s="32"/>
      <c r="D25" s="32"/>
      <c r="E25" s="1"/>
    </row>
    <row r="26" spans="1:5" ht="15">
      <c r="A26" s="1"/>
      <c r="B26" s="1"/>
      <c r="C26" s="1"/>
      <c r="D26" s="1"/>
      <c r="E26" s="1"/>
    </row>
    <row r="27" spans="1:5" ht="15">
      <c r="A27" s="31" t="s">
        <v>113</v>
      </c>
      <c r="B27" s="32"/>
      <c r="C27" s="32"/>
      <c r="D27" s="32"/>
      <c r="E27" s="1"/>
    </row>
    <row r="28" spans="1:5" ht="15">
      <c r="A28" s="33" t="s">
        <v>114</v>
      </c>
      <c r="B28" s="32"/>
      <c r="C28" s="32"/>
      <c r="D28" s="32"/>
      <c r="E28" s="1"/>
    </row>
    <row r="29" spans="1:5" ht="30" customHeight="1">
      <c r="A29" s="2" t="s">
        <v>108</v>
      </c>
      <c r="B29" s="2" t="s">
        <v>109</v>
      </c>
      <c r="C29" s="2" t="s">
        <v>110</v>
      </c>
      <c r="D29" s="2" t="s">
        <v>111</v>
      </c>
      <c r="E29" s="1"/>
    </row>
    <row r="30" spans="1:5" ht="15">
      <c r="A30" s="18">
        <v>0</v>
      </c>
      <c r="B30" s="16">
        <v>54</v>
      </c>
      <c r="C30" s="16">
        <v>0</v>
      </c>
      <c r="D30" s="20">
        <f>C30-B30</f>
        <v>-54</v>
      </c>
      <c r="E30" s="1"/>
    </row>
    <row r="31" spans="1:5" ht="15">
      <c r="A31" s="18">
        <v>1</v>
      </c>
      <c r="B31" s="16">
        <v>13659</v>
      </c>
      <c r="C31" s="16">
        <v>13659</v>
      </c>
      <c r="D31" s="20">
        <f>C31-B31</f>
        <v>0</v>
      </c>
      <c r="E31" s="1"/>
    </row>
    <row r="32" spans="1:5" ht="15">
      <c r="A32" s="18">
        <v>2</v>
      </c>
      <c r="B32" s="16">
        <v>15964</v>
      </c>
      <c r="C32" s="16">
        <v>15964</v>
      </c>
      <c r="D32" s="20">
        <f>C32-B32</f>
        <v>0</v>
      </c>
      <c r="E32" s="1"/>
    </row>
    <row r="33" spans="1:5" ht="15">
      <c r="A33" s="19">
        <v>3</v>
      </c>
      <c r="B33" s="17">
        <v>323</v>
      </c>
      <c r="C33" s="17">
        <v>377</v>
      </c>
      <c r="D33" s="21">
        <f>C33-B33</f>
        <v>54</v>
      </c>
      <c r="E33" s="1"/>
    </row>
    <row r="34" spans="1:5" ht="36" customHeight="1">
      <c r="A34" s="34" t="s">
        <v>115</v>
      </c>
      <c r="B34" s="32"/>
      <c r="C34" s="32"/>
      <c r="D34" s="32"/>
      <c r="E34" s="1"/>
    </row>
    <row r="35" spans="1:5" ht="15">
      <c r="A35" s="1"/>
      <c r="B35" s="1"/>
      <c r="C35" s="1"/>
      <c r="D35" s="1"/>
      <c r="E35" s="1"/>
    </row>
    <row r="36" spans="1:5" ht="15">
      <c r="A36" s="1"/>
      <c r="B36" s="1"/>
      <c r="C36" s="1"/>
      <c r="D36" s="1"/>
      <c r="E36" s="1"/>
    </row>
    <row r="37" spans="1:5" ht="15">
      <c r="A37" s="1"/>
      <c r="B37" s="1"/>
      <c r="C37" s="1"/>
      <c r="D37" s="1"/>
      <c r="E37" s="1"/>
    </row>
    <row r="38" spans="1:5" ht="15">
      <c r="A38" s="1"/>
      <c r="B38" s="1"/>
      <c r="C38" s="1"/>
      <c r="D38" s="1"/>
      <c r="E38" s="1"/>
    </row>
    <row r="39" spans="1:5" ht="15">
      <c r="A39" s="1"/>
      <c r="B39" s="1"/>
      <c r="C39" s="1"/>
      <c r="D39" s="1"/>
      <c r="E39" s="1"/>
    </row>
    <row r="40" spans="1:5" ht="15">
      <c r="A40" s="1"/>
      <c r="B40" s="1"/>
      <c r="C40" s="1"/>
      <c r="D40" s="1"/>
      <c r="E40" s="1"/>
    </row>
    <row r="41" spans="1:5" ht="15">
      <c r="A41" s="1"/>
      <c r="B41" s="1"/>
      <c r="C41" s="1"/>
      <c r="D41" s="1"/>
      <c r="E41" s="1"/>
    </row>
    <row r="42" spans="1:5" ht="15">
      <c r="A42" s="1"/>
      <c r="B42" s="1"/>
      <c r="C42" s="1"/>
      <c r="D42" s="1"/>
      <c r="E42" s="1"/>
    </row>
    <row r="43" spans="1:5" ht="15">
      <c r="A43" s="1"/>
      <c r="B43" s="1"/>
      <c r="C43" s="1"/>
      <c r="D43" s="1"/>
      <c r="E43" s="1"/>
    </row>
    <row r="44" spans="1:5" ht="15">
      <c r="A44" s="1"/>
      <c r="B44" s="1"/>
      <c r="C44" s="1"/>
      <c r="D44" s="1"/>
      <c r="E44" s="1"/>
    </row>
    <row r="45" spans="1:5" ht="15">
      <c r="A45" s="1"/>
      <c r="B45" s="1"/>
      <c r="C45" s="1"/>
      <c r="D45" s="1"/>
      <c r="E45" s="1"/>
    </row>
    <row r="46" spans="1:5" ht="15">
      <c r="A46" s="1"/>
      <c r="B46" s="1"/>
      <c r="C46" s="1"/>
      <c r="D46" s="1"/>
      <c r="E46" s="1"/>
    </row>
    <row r="47" spans="1:5" ht="15">
      <c r="A47" s="1"/>
      <c r="B47" s="1"/>
      <c r="C47" s="1"/>
      <c r="D47" s="1"/>
      <c r="E47" s="1"/>
    </row>
    <row r="48" spans="1:5" ht="15">
      <c r="A48" s="1"/>
      <c r="B48" s="1"/>
      <c r="C48" s="1"/>
      <c r="D48" s="1"/>
      <c r="E48" s="1"/>
    </row>
    <row r="49" spans="1:5" ht="15">
      <c r="A49" s="1"/>
      <c r="B49" s="1"/>
      <c r="C49" s="1"/>
      <c r="D49" s="1"/>
      <c r="E49" s="1"/>
    </row>
    <row r="50" spans="1:5" ht="15">
      <c r="A50" s="1"/>
      <c r="B50" s="1"/>
      <c r="C50" s="1"/>
      <c r="D50" s="1"/>
      <c r="E50" s="1"/>
    </row>
    <row r="51" spans="1:5" ht="15">
      <c r="A51" s="1"/>
      <c r="B51" s="1"/>
      <c r="C51" s="1"/>
      <c r="D51" s="1"/>
      <c r="E51" s="1"/>
    </row>
    <row r="52" spans="1:5" ht="15">
      <c r="A52" s="1"/>
      <c r="B52" s="1"/>
      <c r="C52" s="1"/>
      <c r="D52" s="1"/>
      <c r="E52" s="1"/>
    </row>
    <row r="53" spans="1:5" ht="15">
      <c r="A53" s="1"/>
      <c r="B53" s="1"/>
      <c r="C53" s="1"/>
      <c r="D53" s="1"/>
      <c r="E53" s="1"/>
    </row>
    <row r="54" spans="1:5" ht="15">
      <c r="A54" s="1"/>
      <c r="B54" s="1"/>
      <c r="C54" s="1"/>
      <c r="D54" s="1"/>
      <c r="E54" s="1"/>
    </row>
    <row r="55" spans="1:5" ht="15">
      <c r="A55" s="1"/>
      <c r="B55" s="1"/>
      <c r="C55" s="1"/>
      <c r="D55" s="1"/>
      <c r="E55" s="1"/>
    </row>
    <row r="56" spans="1:5" ht="15">
      <c r="A56" s="1"/>
      <c r="B56" s="1"/>
      <c r="C56" s="1"/>
      <c r="D56" s="1"/>
      <c r="E56" s="1"/>
    </row>
    <row r="57" spans="1:5" ht="15">
      <c r="A57" s="1"/>
      <c r="B57" s="1"/>
      <c r="C57" s="1"/>
      <c r="D57" s="1"/>
      <c r="E57" s="1"/>
    </row>
    <row r="58" spans="1:5" ht="15">
      <c r="A58" s="1"/>
      <c r="B58" s="1"/>
      <c r="C58" s="1"/>
      <c r="D58" s="1"/>
      <c r="E58" s="1"/>
    </row>
    <row r="59" spans="1:5" ht="15">
      <c r="A59" s="1"/>
      <c r="B59" s="1"/>
      <c r="C59" s="1"/>
      <c r="D59" s="1"/>
      <c r="E59" s="1"/>
    </row>
    <row r="60" spans="1:5" ht="15">
      <c r="A60" s="1"/>
      <c r="B60" s="1"/>
      <c r="C60" s="1"/>
      <c r="D60" s="1"/>
      <c r="E60" s="1"/>
    </row>
    <row r="61" spans="1:5" ht="15">
      <c r="A61" s="1"/>
      <c r="B61" s="1"/>
      <c r="C61" s="1"/>
      <c r="D61" s="1"/>
      <c r="E61" s="1"/>
    </row>
    <row r="62" spans="1:5" ht="15">
      <c r="A62" s="1"/>
      <c r="B62" s="1"/>
      <c r="C62" s="1"/>
      <c r="D62" s="1"/>
      <c r="E62" s="1"/>
    </row>
    <row r="63" spans="1:5" ht="15">
      <c r="A63" s="1"/>
      <c r="B63" s="1"/>
      <c r="C63" s="1"/>
      <c r="D63" s="1"/>
      <c r="E63" s="1"/>
    </row>
    <row r="64" spans="1:5" ht="15">
      <c r="A64" s="1"/>
      <c r="B64" s="1"/>
      <c r="C64" s="1"/>
      <c r="D64" s="1"/>
      <c r="E64" s="1"/>
    </row>
    <row r="65" spans="1:5" ht="15">
      <c r="A65" s="1"/>
      <c r="B65" s="1"/>
      <c r="C65" s="1"/>
      <c r="D65" s="1"/>
      <c r="E65" s="1"/>
    </row>
    <row r="66" spans="1:5" ht="15">
      <c r="A66" s="1"/>
      <c r="B66" s="1"/>
      <c r="C66" s="1"/>
      <c r="D66" s="1"/>
      <c r="E66" s="1"/>
    </row>
    <row r="67" spans="1:5" ht="15">
      <c r="A67" s="1"/>
      <c r="B67" s="1"/>
      <c r="C67" s="1"/>
      <c r="D67" s="1"/>
      <c r="E67" s="1"/>
    </row>
    <row r="68" spans="1:5" ht="15">
      <c r="A68" s="1"/>
      <c r="B68" s="1"/>
      <c r="C68" s="1"/>
      <c r="D68" s="1"/>
      <c r="E68" s="1"/>
    </row>
    <row r="69" spans="1:5" ht="15">
      <c r="A69" s="1"/>
      <c r="B69" s="1"/>
      <c r="C69" s="1"/>
      <c r="D69" s="1"/>
      <c r="E69" s="1"/>
    </row>
    <row r="70" spans="1:5" ht="15">
      <c r="A70" s="1"/>
      <c r="B70" s="1"/>
      <c r="C70" s="1"/>
      <c r="D70" s="1"/>
      <c r="E70" s="1"/>
    </row>
    <row r="71" spans="1:5" ht="15">
      <c r="A71" s="1"/>
      <c r="B71" s="1"/>
      <c r="C71" s="1"/>
      <c r="D71" s="1"/>
      <c r="E71" s="1"/>
    </row>
    <row r="72" spans="1:5" ht="15">
      <c r="A72" s="1"/>
      <c r="B72" s="1"/>
      <c r="C72" s="1"/>
      <c r="D72" s="1"/>
      <c r="E72" s="1"/>
    </row>
    <row r="73" spans="1:5" ht="15">
      <c r="A73" s="1"/>
      <c r="B73" s="1"/>
      <c r="C73" s="1"/>
      <c r="D73" s="1"/>
      <c r="E73" s="1"/>
    </row>
    <row r="74" spans="1:5" ht="15">
      <c r="A74" s="1"/>
      <c r="B74" s="1"/>
      <c r="C74" s="1"/>
      <c r="D74" s="1"/>
      <c r="E74" s="1"/>
    </row>
    <row r="75" spans="1:5" ht="15">
      <c r="A75" s="1"/>
      <c r="B75" s="1"/>
      <c r="C75" s="1"/>
      <c r="D75" s="1"/>
      <c r="E75" s="1"/>
    </row>
    <row r="76" spans="1:5" ht="15">
      <c r="A76" s="1"/>
      <c r="B76" s="1"/>
      <c r="C76" s="1"/>
      <c r="D76" s="1"/>
      <c r="E76" s="1"/>
    </row>
    <row r="77" spans="1:5" ht="15">
      <c r="A77" s="1"/>
      <c r="B77" s="1"/>
      <c r="C77" s="1"/>
      <c r="D77" s="1"/>
      <c r="E77" s="1"/>
    </row>
    <row r="78" spans="1:5" ht="15">
      <c r="A78" s="1"/>
      <c r="B78" s="1"/>
      <c r="C78" s="1"/>
      <c r="D78" s="1"/>
      <c r="E78" s="1"/>
    </row>
    <row r="79" spans="1:5" ht="15">
      <c r="A79" s="1"/>
      <c r="B79" s="1"/>
      <c r="C79" s="1"/>
      <c r="D79" s="1"/>
      <c r="E79" s="1"/>
    </row>
    <row r="80" spans="1:5" ht="15">
      <c r="A80" s="1"/>
      <c r="B80" s="1"/>
      <c r="C80" s="1"/>
      <c r="D80" s="1"/>
      <c r="E80" s="1"/>
    </row>
    <row r="81" spans="1:5" ht="15">
      <c r="A81" s="1"/>
      <c r="B81" s="1"/>
      <c r="C81" s="1"/>
      <c r="D81" s="1"/>
      <c r="E81" s="1"/>
    </row>
    <row r="82" spans="1:5" ht="15">
      <c r="A82" s="1"/>
      <c r="B82" s="1"/>
      <c r="C82" s="1"/>
      <c r="D82" s="1"/>
      <c r="E82" s="1"/>
    </row>
    <row r="83" spans="1:5" ht="15">
      <c r="A83" s="1"/>
      <c r="B83" s="1"/>
      <c r="C83" s="1"/>
      <c r="D83" s="1"/>
      <c r="E83" s="1"/>
    </row>
    <row r="84" spans="1:5" ht="15">
      <c r="A84" s="1"/>
      <c r="B84" s="1"/>
      <c r="C84" s="1"/>
      <c r="D84" s="1"/>
      <c r="E84" s="1"/>
    </row>
    <row r="85" spans="1:5" ht="15">
      <c r="A85" s="1"/>
      <c r="B85" s="1"/>
      <c r="C85" s="1"/>
      <c r="D85" s="1"/>
      <c r="E85" s="1"/>
    </row>
    <row r="86" spans="1:5" ht="15">
      <c r="A86" s="1"/>
      <c r="B86" s="1"/>
      <c r="C86" s="1"/>
      <c r="D86" s="1"/>
      <c r="E86" s="1"/>
    </row>
    <row r="87" spans="1:5" ht="15">
      <c r="A87" s="1"/>
      <c r="B87" s="1"/>
      <c r="C87" s="1"/>
      <c r="D87" s="1"/>
      <c r="E87" s="1"/>
    </row>
    <row r="88" spans="1:5" ht="15">
      <c r="A88" s="1"/>
      <c r="B88" s="1"/>
      <c r="C88" s="1"/>
      <c r="D88" s="1"/>
      <c r="E88" s="1"/>
    </row>
    <row r="89" spans="1:5" ht="15">
      <c r="A89" s="1"/>
      <c r="B89" s="1"/>
      <c r="C89" s="1"/>
      <c r="D89" s="1"/>
      <c r="E89" s="1"/>
    </row>
    <row r="90" spans="1:5" ht="15">
      <c r="A90" s="1"/>
      <c r="B90" s="1"/>
      <c r="C90" s="1"/>
      <c r="D90" s="1"/>
      <c r="E90" s="1"/>
    </row>
  </sheetData>
  <mergeCells count="11">
    <mergeCell ref="A1:E1"/>
    <mergeCell ref="A2:E2"/>
    <mergeCell ref="A5:E5"/>
    <mergeCell ref="A6:E6"/>
    <mergeCell ref="A13:E13"/>
    <mergeCell ref="A34:D34"/>
    <mergeCell ref="A15:D15"/>
    <mergeCell ref="A16:D16"/>
    <mergeCell ref="A25:D25"/>
    <mergeCell ref="A27:D27"/>
    <mergeCell ref="A28:D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5"/>
  <sheetViews>
    <sheetView showGridLines="0" workbookViewId="0">
      <pane ySplit="4" topLeftCell="A5" activePane="bottomLeft" state="frozen"/>
      <selection pane="bottomLeft" activeCell="A22" sqref="A22:K22"/>
    </sheetView>
  </sheetViews>
  <sheetFormatPr defaultRowHeight="14.25"/>
  <cols>
    <col min="1" max="1" width="25" customWidth="1"/>
    <col min="2" max="3" width="11" customWidth="1"/>
    <col min="4" max="9" width="18" customWidth="1"/>
    <col min="10" max="10" width="13" customWidth="1"/>
    <col min="11" max="11" width="18" customWidth="1"/>
  </cols>
  <sheetData>
    <row r="1" spans="1:11" ht="27.95" customHeight="1">
      <c r="A1" s="35" t="s">
        <v>116</v>
      </c>
      <c r="B1" s="32"/>
      <c r="C1" s="32"/>
      <c r="D1" s="32"/>
      <c r="E1" s="32"/>
      <c r="F1" s="32"/>
      <c r="G1" s="32"/>
      <c r="H1" s="32"/>
      <c r="I1" s="32"/>
      <c r="J1" s="32"/>
      <c r="K1" s="32"/>
    </row>
    <row r="2" spans="1:11" ht="24" customHeight="1">
      <c r="A2" s="36" t="s">
        <v>117</v>
      </c>
      <c r="B2" s="32"/>
      <c r="C2" s="32"/>
      <c r="D2" s="32"/>
      <c r="E2" s="32"/>
      <c r="F2" s="32"/>
      <c r="G2" s="32"/>
      <c r="H2" s="32"/>
      <c r="I2" s="32"/>
      <c r="J2" s="32"/>
      <c r="K2" s="32"/>
    </row>
    <row r="3" spans="1:11" ht="15">
      <c r="A3" s="1"/>
      <c r="B3" s="1"/>
      <c r="C3" s="1"/>
      <c r="D3" s="1"/>
      <c r="E3" s="1"/>
      <c r="F3" s="1"/>
      <c r="G3" s="1"/>
      <c r="H3" s="1"/>
      <c r="I3" s="1"/>
      <c r="J3" s="1"/>
      <c r="K3" s="1"/>
    </row>
    <row r="4" spans="1:11" ht="15">
      <c r="A4" s="1"/>
      <c r="B4" s="1"/>
      <c r="C4" s="1"/>
      <c r="D4" s="1"/>
      <c r="E4" s="1"/>
      <c r="F4" s="1"/>
      <c r="G4" s="1"/>
      <c r="H4" s="1"/>
      <c r="I4" s="1"/>
      <c r="J4" s="1"/>
      <c r="K4" s="1"/>
    </row>
    <row r="5" spans="1:11" ht="15">
      <c r="A5" s="31" t="s">
        <v>118</v>
      </c>
      <c r="B5" s="32"/>
      <c r="C5" s="32"/>
      <c r="D5" s="32"/>
      <c r="E5" s="32"/>
      <c r="F5" s="32"/>
      <c r="G5" s="32"/>
      <c r="H5" s="32"/>
      <c r="I5" s="32"/>
      <c r="J5" s="32"/>
      <c r="K5" s="32"/>
    </row>
    <row r="6" spans="1:11" ht="15">
      <c r="A6" s="33" t="s">
        <v>119</v>
      </c>
      <c r="B6" s="32"/>
      <c r="C6" s="32"/>
      <c r="D6" s="32"/>
      <c r="E6" s="32"/>
      <c r="F6" s="32"/>
      <c r="G6" s="32"/>
      <c r="H6" s="32"/>
      <c r="I6" s="32"/>
      <c r="J6" s="32"/>
      <c r="K6" s="32"/>
    </row>
    <row r="7" spans="1:11" ht="30" customHeight="1">
      <c r="A7" s="2" t="s">
        <v>26</v>
      </c>
      <c r="B7" s="2" t="s">
        <v>120</v>
      </c>
      <c r="C7" s="2" t="s">
        <v>121</v>
      </c>
      <c r="D7" s="2" t="s">
        <v>122</v>
      </c>
      <c r="E7" s="2" t="s">
        <v>123</v>
      </c>
      <c r="F7" s="2" t="s">
        <v>124</v>
      </c>
      <c r="G7" s="2" t="s">
        <v>125</v>
      </c>
      <c r="H7" s="2" t="s">
        <v>126</v>
      </c>
      <c r="I7" s="2" t="s">
        <v>127</v>
      </c>
      <c r="J7" s="2" t="s">
        <v>128</v>
      </c>
      <c r="K7" s="2" t="s">
        <v>129</v>
      </c>
    </row>
    <row r="8" spans="1:11" ht="15">
      <c r="A8" s="4" t="s">
        <v>36</v>
      </c>
      <c r="B8" s="16">
        <v>30000</v>
      </c>
      <c r="C8" s="16">
        <v>0</v>
      </c>
      <c r="D8" s="22">
        <v>167484.32266666667</v>
      </c>
      <c r="E8" s="22">
        <v>129747.66156720239</v>
      </c>
      <c r="F8" s="22">
        <v>140000</v>
      </c>
      <c r="G8" s="22">
        <v>190000</v>
      </c>
      <c r="H8" s="22">
        <v>10000</v>
      </c>
      <c r="I8" s="22">
        <v>1000000</v>
      </c>
      <c r="J8" s="24">
        <v>0.99286696051954437</v>
      </c>
      <c r="K8" s="16">
        <v>167</v>
      </c>
    </row>
    <row r="9" spans="1:11" ht="15">
      <c r="A9" s="4" t="s">
        <v>130</v>
      </c>
      <c r="B9" s="16">
        <v>30000</v>
      </c>
      <c r="C9" s="16">
        <v>0</v>
      </c>
      <c r="D9" s="22">
        <v>35.485500000000002</v>
      </c>
      <c r="E9" s="22">
        <v>9.2179040680901885</v>
      </c>
      <c r="F9" s="22">
        <v>34</v>
      </c>
      <c r="G9" s="22">
        <v>13</v>
      </c>
      <c r="H9" s="22">
        <v>21</v>
      </c>
      <c r="I9" s="22">
        <v>79</v>
      </c>
      <c r="J9" s="24">
        <v>0.7322458687830562</v>
      </c>
      <c r="K9" s="16">
        <v>272</v>
      </c>
    </row>
    <row r="10" spans="1:11" ht="15">
      <c r="A10" s="4" t="s">
        <v>131</v>
      </c>
      <c r="B10" s="16">
        <v>30000</v>
      </c>
      <c r="C10" s="16">
        <v>0</v>
      </c>
      <c r="D10" s="22">
        <v>51223.330900000001</v>
      </c>
      <c r="E10" s="22">
        <v>73635.860575529558</v>
      </c>
      <c r="F10" s="22">
        <v>22381.5</v>
      </c>
      <c r="G10" s="22">
        <v>63532.25</v>
      </c>
      <c r="H10" s="22">
        <v>-165580</v>
      </c>
      <c r="I10" s="22">
        <v>964511</v>
      </c>
      <c r="J10" s="24">
        <v>2.6638610220232604</v>
      </c>
      <c r="K10" s="16">
        <v>2400</v>
      </c>
    </row>
    <row r="11" spans="1:11" ht="15">
      <c r="A11" s="4" t="s">
        <v>132</v>
      </c>
      <c r="B11" s="16">
        <v>30000</v>
      </c>
      <c r="C11" s="16">
        <v>0</v>
      </c>
      <c r="D11" s="22">
        <v>49179.075166666669</v>
      </c>
      <c r="E11" s="22">
        <v>71173.76878252835</v>
      </c>
      <c r="F11" s="22">
        <v>21200</v>
      </c>
      <c r="G11" s="22">
        <v>61021.5</v>
      </c>
      <c r="H11" s="22">
        <v>-69777</v>
      </c>
      <c r="I11" s="22">
        <v>983931</v>
      </c>
      <c r="J11" s="24">
        <v>2.7052208534082856</v>
      </c>
      <c r="K11" s="16">
        <v>2395</v>
      </c>
    </row>
    <row r="12" spans="1:11" ht="15">
      <c r="A12" s="4" t="s">
        <v>133</v>
      </c>
      <c r="B12" s="16">
        <v>30000</v>
      </c>
      <c r="C12" s="16">
        <v>0</v>
      </c>
      <c r="D12" s="22">
        <v>47013.154799999997</v>
      </c>
      <c r="E12" s="22">
        <v>69349.38742703684</v>
      </c>
      <c r="F12" s="22">
        <v>20088.5</v>
      </c>
      <c r="G12" s="22">
        <v>57498.5</v>
      </c>
      <c r="H12" s="22">
        <v>-157264</v>
      </c>
      <c r="I12" s="22">
        <v>1664089</v>
      </c>
      <c r="J12" s="24">
        <v>3.087830046200724</v>
      </c>
      <c r="K12" s="16">
        <v>2469</v>
      </c>
    </row>
    <row r="13" spans="1:11" ht="15">
      <c r="A13" s="4" t="s">
        <v>134</v>
      </c>
      <c r="B13" s="16">
        <v>30000</v>
      </c>
      <c r="C13" s="16">
        <v>0</v>
      </c>
      <c r="D13" s="22">
        <v>43262.948966666663</v>
      </c>
      <c r="E13" s="22">
        <v>64332.856133916313</v>
      </c>
      <c r="F13" s="22">
        <v>19052</v>
      </c>
      <c r="G13" s="22">
        <v>52179.25</v>
      </c>
      <c r="H13" s="22">
        <v>-170000</v>
      </c>
      <c r="I13" s="22">
        <v>891586</v>
      </c>
      <c r="J13" s="24">
        <v>2.8219652908028126</v>
      </c>
      <c r="K13" s="16">
        <v>2622</v>
      </c>
    </row>
    <row r="14" spans="1:11" ht="15">
      <c r="A14" s="4" t="s">
        <v>135</v>
      </c>
      <c r="B14" s="16">
        <v>30000</v>
      </c>
      <c r="C14" s="16">
        <v>0</v>
      </c>
      <c r="D14" s="22">
        <v>40311.400966666668</v>
      </c>
      <c r="E14" s="22">
        <v>60797.155770264872</v>
      </c>
      <c r="F14" s="22">
        <v>18104.5</v>
      </c>
      <c r="G14" s="22">
        <v>48427.5</v>
      </c>
      <c r="H14" s="22">
        <v>-81334</v>
      </c>
      <c r="I14" s="22">
        <v>927171</v>
      </c>
      <c r="J14" s="24">
        <v>2.8763798667028633</v>
      </c>
      <c r="K14" s="16">
        <v>2725</v>
      </c>
    </row>
    <row r="15" spans="1:11" ht="15">
      <c r="A15" s="4" t="s">
        <v>136</v>
      </c>
      <c r="B15" s="16">
        <v>30000</v>
      </c>
      <c r="C15" s="16">
        <v>0</v>
      </c>
      <c r="D15" s="22">
        <v>38871.760399999999</v>
      </c>
      <c r="E15" s="22">
        <v>59554.107536745731</v>
      </c>
      <c r="F15" s="22">
        <v>17071</v>
      </c>
      <c r="G15" s="22">
        <v>47942.25</v>
      </c>
      <c r="H15" s="22">
        <v>-339603</v>
      </c>
      <c r="I15" s="22">
        <v>961664</v>
      </c>
      <c r="J15" s="24">
        <v>2.8466445756603669</v>
      </c>
      <c r="K15" s="16">
        <v>2693</v>
      </c>
    </row>
    <row r="16" spans="1:11" ht="15">
      <c r="A16" s="4" t="s">
        <v>137</v>
      </c>
      <c r="B16" s="16">
        <v>30000</v>
      </c>
      <c r="C16" s="16">
        <v>0</v>
      </c>
      <c r="D16" s="22">
        <v>5663.5805</v>
      </c>
      <c r="E16" s="22">
        <v>16563.280354025766</v>
      </c>
      <c r="F16" s="22">
        <v>2100</v>
      </c>
      <c r="G16" s="22">
        <v>4006</v>
      </c>
      <c r="H16" s="22">
        <v>0</v>
      </c>
      <c r="I16" s="22">
        <v>873552</v>
      </c>
      <c r="J16" s="24">
        <v>14.66836433284317</v>
      </c>
      <c r="K16" s="16">
        <v>2745</v>
      </c>
    </row>
    <row r="17" spans="1:11" ht="15">
      <c r="A17" s="4" t="s">
        <v>138</v>
      </c>
      <c r="B17" s="16">
        <v>30000</v>
      </c>
      <c r="C17" s="16">
        <v>0</v>
      </c>
      <c r="D17" s="22">
        <v>5921.1634999999997</v>
      </c>
      <c r="E17" s="22">
        <v>23040.870402057237</v>
      </c>
      <c r="F17" s="22">
        <v>2009</v>
      </c>
      <c r="G17" s="22">
        <v>4167</v>
      </c>
      <c r="H17" s="22">
        <v>0</v>
      </c>
      <c r="I17" s="22">
        <v>1684259</v>
      </c>
      <c r="J17" s="24">
        <v>30.453817450169442</v>
      </c>
      <c r="K17" s="16">
        <v>2714</v>
      </c>
    </row>
    <row r="18" spans="1:11" ht="15">
      <c r="A18" s="4" t="s">
        <v>139</v>
      </c>
      <c r="B18" s="16">
        <v>30000</v>
      </c>
      <c r="C18" s="16">
        <v>0</v>
      </c>
      <c r="D18" s="22">
        <v>5225.6814999999997</v>
      </c>
      <c r="E18" s="22">
        <v>17606.961469803104</v>
      </c>
      <c r="F18" s="22">
        <v>1800</v>
      </c>
      <c r="G18" s="22">
        <v>4115</v>
      </c>
      <c r="H18" s="22">
        <v>0</v>
      </c>
      <c r="I18" s="22">
        <v>896040</v>
      </c>
      <c r="J18" s="24">
        <v>17.216635435129238</v>
      </c>
      <c r="K18" s="16">
        <v>2598</v>
      </c>
    </row>
    <row r="19" spans="1:11" ht="15">
      <c r="A19" s="4" t="s">
        <v>140</v>
      </c>
      <c r="B19" s="16">
        <v>30000</v>
      </c>
      <c r="C19" s="16">
        <v>0</v>
      </c>
      <c r="D19" s="22">
        <v>4826.0768666666663</v>
      </c>
      <c r="E19" s="22">
        <v>15666.159744032007</v>
      </c>
      <c r="F19" s="22">
        <v>1500</v>
      </c>
      <c r="G19" s="22">
        <v>3717.25</v>
      </c>
      <c r="H19" s="22">
        <v>0</v>
      </c>
      <c r="I19" s="22">
        <v>621000</v>
      </c>
      <c r="J19" s="24">
        <v>12.904984823542542</v>
      </c>
      <c r="K19" s="16">
        <v>2994</v>
      </c>
    </row>
    <row r="20" spans="1:11" ht="15">
      <c r="A20" s="4" t="s">
        <v>141</v>
      </c>
      <c r="B20" s="16">
        <v>30000</v>
      </c>
      <c r="C20" s="16">
        <v>0</v>
      </c>
      <c r="D20" s="22">
        <v>4799.3876333333337</v>
      </c>
      <c r="E20" s="22">
        <v>15278.305679144791</v>
      </c>
      <c r="F20" s="22">
        <v>1500</v>
      </c>
      <c r="G20" s="22">
        <v>3779</v>
      </c>
      <c r="H20" s="22">
        <v>0</v>
      </c>
      <c r="I20" s="22">
        <v>426529</v>
      </c>
      <c r="J20" s="24">
        <v>11.127417052173811</v>
      </c>
      <c r="K20" s="16">
        <v>2945</v>
      </c>
    </row>
    <row r="21" spans="1:11" ht="15">
      <c r="A21" s="5" t="s">
        <v>142</v>
      </c>
      <c r="B21" s="17">
        <v>30000</v>
      </c>
      <c r="C21" s="17">
        <v>0</v>
      </c>
      <c r="D21" s="23">
        <v>5215.502566666667</v>
      </c>
      <c r="E21" s="23">
        <v>17777.465775435299</v>
      </c>
      <c r="F21" s="23">
        <v>1500</v>
      </c>
      <c r="G21" s="23">
        <v>3882.25</v>
      </c>
      <c r="H21" s="23">
        <v>0</v>
      </c>
      <c r="I21" s="23">
        <v>528666</v>
      </c>
      <c r="J21" s="25">
        <v>10.640727325044317</v>
      </c>
      <c r="K21" s="17">
        <v>2958</v>
      </c>
    </row>
    <row r="22" spans="1:11" ht="36" customHeight="1">
      <c r="A22" s="34" t="s">
        <v>143</v>
      </c>
      <c r="B22" s="32"/>
      <c r="C22" s="32"/>
      <c r="D22" s="32"/>
      <c r="E22" s="32"/>
      <c r="F22" s="32"/>
      <c r="G22" s="32"/>
      <c r="H22" s="32"/>
      <c r="I22" s="32"/>
      <c r="J22" s="32"/>
      <c r="K22" s="32"/>
    </row>
    <row r="23" spans="1:11" ht="15">
      <c r="A23" s="1"/>
      <c r="B23" s="1"/>
      <c r="C23" s="1"/>
      <c r="D23" s="1"/>
      <c r="E23" s="1"/>
      <c r="F23" s="1"/>
      <c r="G23" s="1"/>
      <c r="H23" s="1"/>
      <c r="I23" s="1"/>
      <c r="J23" s="1"/>
      <c r="K23" s="1"/>
    </row>
    <row r="24" spans="1:11" ht="15">
      <c r="A24" s="1"/>
      <c r="B24" s="1"/>
      <c r="C24" s="1"/>
      <c r="D24" s="1"/>
      <c r="E24" s="1"/>
      <c r="F24" s="1"/>
      <c r="G24" s="1"/>
      <c r="H24" s="1"/>
      <c r="I24" s="1"/>
      <c r="J24" s="1"/>
      <c r="K24" s="1"/>
    </row>
    <row r="25" spans="1:11" ht="15">
      <c r="A25" s="1"/>
      <c r="B25" s="1"/>
      <c r="C25" s="1"/>
      <c r="D25" s="1"/>
      <c r="E25" s="1"/>
      <c r="F25" s="1"/>
      <c r="G25" s="1"/>
      <c r="H25" s="1"/>
      <c r="I25" s="1"/>
      <c r="J25" s="1"/>
      <c r="K25" s="1"/>
    </row>
    <row r="26" spans="1:11" ht="15">
      <c r="A26" s="1"/>
      <c r="B26" s="1"/>
      <c r="C26" s="1"/>
      <c r="D26" s="1"/>
      <c r="E26" s="1"/>
      <c r="F26" s="1"/>
      <c r="G26" s="1"/>
      <c r="H26" s="1"/>
      <c r="I26" s="1"/>
      <c r="J26" s="1"/>
      <c r="K26" s="1"/>
    </row>
    <row r="27" spans="1:11" ht="15">
      <c r="A27" s="1"/>
      <c r="B27" s="1"/>
      <c r="C27" s="1"/>
      <c r="D27" s="1"/>
      <c r="E27" s="1"/>
      <c r="F27" s="1"/>
      <c r="G27" s="1"/>
      <c r="H27" s="1"/>
      <c r="I27" s="1"/>
      <c r="J27" s="1"/>
      <c r="K27" s="1"/>
    </row>
    <row r="28" spans="1:11" ht="15">
      <c r="A28" s="1"/>
      <c r="B28" s="1"/>
      <c r="C28" s="1"/>
      <c r="D28" s="1"/>
      <c r="E28" s="1"/>
      <c r="F28" s="1"/>
      <c r="G28" s="1"/>
      <c r="H28" s="1"/>
      <c r="I28" s="1"/>
      <c r="J28" s="1"/>
      <c r="K28" s="1"/>
    </row>
    <row r="29" spans="1:11" ht="15">
      <c r="A29" s="1"/>
      <c r="B29" s="1"/>
      <c r="C29" s="1"/>
      <c r="D29" s="1"/>
      <c r="E29" s="1"/>
      <c r="F29" s="1"/>
      <c r="G29" s="1"/>
      <c r="H29" s="1"/>
      <c r="I29" s="1"/>
      <c r="J29" s="1"/>
      <c r="K29" s="1"/>
    </row>
    <row r="30" spans="1:11" ht="15">
      <c r="A30" s="1"/>
      <c r="B30" s="1"/>
      <c r="C30" s="1"/>
      <c r="D30" s="1"/>
      <c r="E30" s="1"/>
      <c r="F30" s="1"/>
      <c r="G30" s="1"/>
      <c r="H30" s="1"/>
      <c r="I30" s="1"/>
      <c r="J30" s="1"/>
      <c r="K30" s="1"/>
    </row>
    <row r="31" spans="1:11" ht="15">
      <c r="A31" s="1"/>
      <c r="B31" s="1"/>
      <c r="C31" s="1"/>
      <c r="D31" s="1"/>
      <c r="E31" s="1"/>
      <c r="F31" s="1"/>
      <c r="G31" s="1"/>
      <c r="H31" s="1"/>
      <c r="I31" s="1"/>
      <c r="J31" s="1"/>
      <c r="K31" s="1"/>
    </row>
    <row r="32" spans="1:11" ht="15">
      <c r="A32" s="1"/>
      <c r="B32" s="1"/>
      <c r="C32" s="1"/>
      <c r="D32" s="1"/>
      <c r="E32" s="1"/>
      <c r="F32" s="1"/>
      <c r="G32" s="1"/>
      <c r="H32" s="1"/>
      <c r="I32" s="1"/>
      <c r="J32" s="1"/>
      <c r="K32" s="1"/>
    </row>
    <row r="33" spans="1:11" ht="15">
      <c r="A33" s="1"/>
      <c r="B33" s="1"/>
      <c r="C33" s="1"/>
      <c r="D33" s="1"/>
      <c r="E33" s="1"/>
      <c r="F33" s="1"/>
      <c r="G33" s="1"/>
      <c r="H33" s="1"/>
      <c r="I33" s="1"/>
      <c r="J33" s="1"/>
      <c r="K33" s="1"/>
    </row>
    <row r="34" spans="1:11" ht="15">
      <c r="A34" s="1"/>
      <c r="B34" s="1"/>
      <c r="C34" s="1"/>
      <c r="D34" s="1"/>
      <c r="E34" s="1"/>
      <c r="F34" s="1"/>
      <c r="G34" s="1"/>
      <c r="H34" s="1"/>
      <c r="I34" s="1"/>
      <c r="J34" s="1"/>
      <c r="K34" s="1"/>
    </row>
    <row r="35" spans="1:11" ht="15">
      <c r="A35" s="1"/>
      <c r="B35" s="1"/>
      <c r="C35" s="1"/>
      <c r="D35" s="1"/>
      <c r="E35" s="1"/>
      <c r="F35" s="1"/>
      <c r="G35" s="1"/>
      <c r="H35" s="1"/>
      <c r="I35" s="1"/>
      <c r="J35" s="1"/>
      <c r="K35" s="1"/>
    </row>
  </sheetData>
  <mergeCells count="5">
    <mergeCell ref="A1:K1"/>
    <mergeCell ref="A2:K2"/>
    <mergeCell ref="A5:K5"/>
    <mergeCell ref="A6:K6"/>
    <mergeCell ref="A22:K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5"/>
  <sheetViews>
    <sheetView showGridLines="0" workbookViewId="0">
      <pane ySplit="4" topLeftCell="A46" activePane="bottomLeft" state="frozen"/>
      <selection pane="bottomLeft" activeCell="E7" sqref="E7"/>
    </sheetView>
  </sheetViews>
  <sheetFormatPr defaultRowHeight="14.25"/>
  <cols>
    <col min="1" max="1" width="12" customWidth="1"/>
    <col min="2" max="7" width="13" customWidth="1"/>
    <col min="8" max="8" width="24" customWidth="1"/>
  </cols>
  <sheetData>
    <row r="1" spans="1:8" ht="27.95" customHeight="1">
      <c r="A1" s="37" t="s">
        <v>144</v>
      </c>
      <c r="B1" s="38"/>
      <c r="C1" s="38"/>
      <c r="D1" s="38"/>
      <c r="E1" s="38"/>
      <c r="F1" s="38"/>
      <c r="G1" s="38"/>
      <c r="H1" s="38"/>
    </row>
    <row r="2" spans="1:8" ht="24" customHeight="1">
      <c r="A2" s="36" t="s">
        <v>145</v>
      </c>
      <c r="B2" s="32"/>
      <c r="C2" s="32"/>
      <c r="D2" s="32"/>
      <c r="E2" s="32"/>
      <c r="F2" s="32"/>
      <c r="G2" s="32"/>
      <c r="H2" s="32"/>
    </row>
    <row r="3" spans="1:8" ht="15">
      <c r="A3" s="1"/>
      <c r="B3" s="1"/>
      <c r="C3" s="1"/>
      <c r="D3" s="1"/>
      <c r="E3" s="1"/>
      <c r="F3" s="1"/>
      <c r="G3" s="1"/>
      <c r="H3" s="1"/>
    </row>
    <row r="4" spans="1:8" ht="15">
      <c r="A4" s="1"/>
      <c r="B4" s="1"/>
      <c r="C4" s="1"/>
      <c r="D4" s="1"/>
      <c r="E4" s="1"/>
      <c r="F4" s="1"/>
      <c r="G4" s="1"/>
      <c r="H4" s="1"/>
    </row>
    <row r="5" spans="1:8" ht="15">
      <c r="A5" s="31" t="s">
        <v>146</v>
      </c>
      <c r="B5" s="32"/>
      <c r="C5" s="32"/>
      <c r="D5" s="1"/>
      <c r="E5" s="1"/>
      <c r="F5" s="1"/>
      <c r="G5" s="1"/>
      <c r="H5" s="1"/>
    </row>
    <row r="6" spans="1:8" ht="15">
      <c r="A6" s="43" t="s">
        <v>147</v>
      </c>
      <c r="B6" s="44"/>
      <c r="C6" s="44"/>
      <c r="D6" s="1"/>
      <c r="E6" s="1"/>
      <c r="F6" s="1"/>
      <c r="G6" s="1"/>
      <c r="H6" s="1"/>
    </row>
    <row r="7" spans="1:8" ht="30" customHeight="1">
      <c r="A7" s="45" t="s">
        <v>148</v>
      </c>
      <c r="B7" s="45" t="s">
        <v>46</v>
      </c>
      <c r="C7" s="45" t="s">
        <v>149</v>
      </c>
      <c r="D7" s="1"/>
      <c r="E7" s="1"/>
      <c r="F7" s="1"/>
      <c r="G7" s="1"/>
      <c r="H7" s="1"/>
    </row>
    <row r="8" spans="1:8" ht="15">
      <c r="A8" s="46" t="s">
        <v>53</v>
      </c>
      <c r="B8" s="47">
        <v>23364</v>
      </c>
      <c r="C8" s="48">
        <v>0.77880000000000005</v>
      </c>
      <c r="D8" s="1"/>
      <c r="E8" s="1"/>
      <c r="F8" s="1"/>
      <c r="G8" s="1"/>
      <c r="H8" s="1"/>
    </row>
    <row r="9" spans="1:8" ht="30">
      <c r="A9" s="46" t="s">
        <v>54</v>
      </c>
      <c r="B9" s="47">
        <v>6636</v>
      </c>
      <c r="C9" s="48">
        <v>0.22120000000000001</v>
      </c>
      <c r="D9" s="1"/>
      <c r="E9" s="1"/>
      <c r="F9" s="1"/>
      <c r="G9" s="1"/>
      <c r="H9" s="1"/>
    </row>
    <row r="10" spans="1:8" ht="36" customHeight="1">
      <c r="A10" s="34" t="s">
        <v>150</v>
      </c>
      <c r="B10" s="32"/>
      <c r="C10" s="32"/>
      <c r="D10" s="1"/>
      <c r="E10" s="1"/>
      <c r="F10" s="1"/>
      <c r="G10" s="1"/>
      <c r="H10" s="1"/>
    </row>
    <row r="11" spans="1:8" ht="15">
      <c r="A11" s="1"/>
      <c r="B11" s="1"/>
      <c r="C11" s="1"/>
      <c r="D11" s="1"/>
      <c r="E11" s="1"/>
      <c r="F11" s="1"/>
      <c r="G11" s="1"/>
      <c r="H11" s="1"/>
    </row>
    <row r="12" spans="1:8" ht="15">
      <c r="A12" s="31" t="s">
        <v>151</v>
      </c>
      <c r="B12" s="32"/>
      <c r="C12" s="32"/>
      <c r="D12" s="32"/>
      <c r="E12" s="32"/>
      <c r="F12" s="32"/>
      <c r="G12" s="1"/>
      <c r="H12" s="1"/>
    </row>
    <row r="13" spans="1:8" ht="15">
      <c r="A13" s="33" t="s">
        <v>152</v>
      </c>
      <c r="B13" s="32"/>
      <c r="C13" s="32"/>
      <c r="D13" s="32"/>
      <c r="E13" s="32"/>
      <c r="F13" s="32"/>
      <c r="G13" s="1"/>
      <c r="H13" s="1"/>
    </row>
    <row r="14" spans="1:8" ht="30" customHeight="1">
      <c r="A14" s="2" t="s">
        <v>26</v>
      </c>
      <c r="B14" s="2" t="s">
        <v>148</v>
      </c>
      <c r="C14" s="2" t="s">
        <v>46</v>
      </c>
      <c r="D14" s="2" t="s">
        <v>47</v>
      </c>
      <c r="E14" s="2" t="s">
        <v>153</v>
      </c>
      <c r="F14" s="2" t="s">
        <v>49</v>
      </c>
      <c r="G14" s="1"/>
      <c r="H14" s="1"/>
    </row>
    <row r="15" spans="1:8" ht="15">
      <c r="A15" s="4" t="s">
        <v>48</v>
      </c>
      <c r="B15" s="3" t="s">
        <v>55</v>
      </c>
      <c r="C15" s="16">
        <v>11888</v>
      </c>
      <c r="D15" s="26">
        <v>0.39626666666666666</v>
      </c>
      <c r="E15" s="16">
        <v>2873</v>
      </c>
      <c r="F15" s="26">
        <v>0.24167227456258411</v>
      </c>
      <c r="G15" s="1"/>
      <c r="H15" s="1"/>
    </row>
    <row r="16" spans="1:8" ht="15">
      <c r="A16" s="4" t="s">
        <v>48</v>
      </c>
      <c r="B16" s="3" t="s">
        <v>58</v>
      </c>
      <c r="C16" s="16">
        <v>18112</v>
      </c>
      <c r="D16" s="26">
        <v>0.60373333333333334</v>
      </c>
      <c r="E16" s="16">
        <v>3763</v>
      </c>
      <c r="F16" s="26">
        <v>0.20776280918727916</v>
      </c>
      <c r="G16" s="1"/>
      <c r="H16" s="1"/>
    </row>
    <row r="17" spans="1:8" ht="30">
      <c r="A17" s="4" t="s">
        <v>154</v>
      </c>
      <c r="B17" s="3" t="s">
        <v>155</v>
      </c>
      <c r="C17" s="16">
        <v>10585</v>
      </c>
      <c r="D17" s="26">
        <v>0.35283333333333333</v>
      </c>
      <c r="E17" s="16">
        <v>2036</v>
      </c>
      <c r="F17" s="26">
        <v>0.19234766178554558</v>
      </c>
      <c r="G17" s="1"/>
      <c r="H17" s="1"/>
    </row>
    <row r="18" spans="1:8" ht="30">
      <c r="A18" s="4" t="s">
        <v>154</v>
      </c>
      <c r="B18" s="3" t="s">
        <v>156</v>
      </c>
      <c r="C18" s="16">
        <v>14030</v>
      </c>
      <c r="D18" s="26">
        <v>0.46766666666666667</v>
      </c>
      <c r="E18" s="16">
        <v>3330</v>
      </c>
      <c r="F18" s="26">
        <v>0.23734853884533144</v>
      </c>
      <c r="G18" s="1"/>
      <c r="H18" s="1"/>
    </row>
    <row r="19" spans="1:8" ht="30">
      <c r="A19" s="4" t="s">
        <v>154</v>
      </c>
      <c r="B19" s="3" t="s">
        <v>157</v>
      </c>
      <c r="C19" s="16">
        <v>4917</v>
      </c>
      <c r="D19" s="26">
        <v>0.16389999999999999</v>
      </c>
      <c r="E19" s="16">
        <v>1237</v>
      </c>
      <c r="F19" s="26">
        <v>0.25157616432784219</v>
      </c>
      <c r="G19" s="1"/>
      <c r="H19" s="1"/>
    </row>
    <row r="20" spans="1:8" ht="30">
      <c r="A20" s="4" t="s">
        <v>154</v>
      </c>
      <c r="B20" s="3" t="s">
        <v>158</v>
      </c>
      <c r="C20" s="16">
        <v>468</v>
      </c>
      <c r="D20" s="26">
        <v>1.5599999999999999E-2</v>
      </c>
      <c r="E20" s="16">
        <v>33</v>
      </c>
      <c r="F20" s="26">
        <v>7.0512820512820512E-2</v>
      </c>
      <c r="G20" s="1"/>
      <c r="H20" s="1"/>
    </row>
    <row r="21" spans="1:8" ht="30">
      <c r="A21" s="4" t="s">
        <v>159</v>
      </c>
      <c r="B21" s="3" t="s">
        <v>160</v>
      </c>
      <c r="C21" s="16">
        <v>13659</v>
      </c>
      <c r="D21" s="26">
        <v>0.45529999999999998</v>
      </c>
      <c r="E21" s="16">
        <v>3206</v>
      </c>
      <c r="F21" s="26">
        <v>0.23471703638626545</v>
      </c>
      <c r="G21" s="1"/>
      <c r="H21" s="1"/>
    </row>
    <row r="22" spans="1:8" ht="30">
      <c r="A22" s="4" t="s">
        <v>159</v>
      </c>
      <c r="B22" s="3" t="s">
        <v>161</v>
      </c>
      <c r="C22" s="16">
        <v>15964</v>
      </c>
      <c r="D22" s="26">
        <v>0.53213333333333335</v>
      </c>
      <c r="E22" s="16">
        <v>3341</v>
      </c>
      <c r="F22" s="26">
        <v>0.20928338762214985</v>
      </c>
      <c r="G22" s="1"/>
      <c r="H22" s="1"/>
    </row>
    <row r="23" spans="1:8" ht="30">
      <c r="A23" s="4" t="s">
        <v>159</v>
      </c>
      <c r="B23" s="3" t="s">
        <v>158</v>
      </c>
      <c r="C23" s="16">
        <v>377</v>
      </c>
      <c r="D23" s="26">
        <v>1.2566666666666667E-2</v>
      </c>
      <c r="E23" s="16">
        <v>89</v>
      </c>
      <c r="F23" s="26">
        <v>0.23607427055702918</v>
      </c>
      <c r="G23" s="1"/>
      <c r="H23" s="1"/>
    </row>
    <row r="24" spans="1:8" ht="15">
      <c r="A24" s="4" t="s">
        <v>51</v>
      </c>
      <c r="B24" s="3" t="s">
        <v>56</v>
      </c>
      <c r="C24" s="16">
        <v>9618</v>
      </c>
      <c r="D24" s="26">
        <v>0.3206</v>
      </c>
      <c r="E24" s="16">
        <v>2197</v>
      </c>
      <c r="F24" s="26">
        <v>0.22842586816385943</v>
      </c>
      <c r="G24" s="1"/>
      <c r="H24" s="1"/>
    </row>
    <row r="25" spans="1:8" ht="15">
      <c r="A25" s="4" t="s">
        <v>51</v>
      </c>
      <c r="B25" s="3" t="s">
        <v>59</v>
      </c>
      <c r="C25" s="16">
        <v>11238</v>
      </c>
      <c r="D25" s="26">
        <v>0.37459999999999999</v>
      </c>
      <c r="E25" s="16">
        <v>2276</v>
      </c>
      <c r="F25" s="26">
        <v>0.20252714006050898</v>
      </c>
      <c r="G25" s="1"/>
      <c r="H25" s="1"/>
    </row>
    <row r="26" spans="1:8" ht="15">
      <c r="A26" s="4" t="s">
        <v>51</v>
      </c>
      <c r="B26" s="3" t="s">
        <v>61</v>
      </c>
      <c r="C26" s="16">
        <v>6464</v>
      </c>
      <c r="D26" s="26">
        <v>0.21546666666666667</v>
      </c>
      <c r="E26" s="16">
        <v>1485</v>
      </c>
      <c r="F26" s="26">
        <v>0.2297339108910891</v>
      </c>
      <c r="G26" s="1"/>
      <c r="H26" s="1"/>
    </row>
    <row r="27" spans="1:8" ht="15">
      <c r="A27" s="4" t="s">
        <v>51</v>
      </c>
      <c r="B27" s="3" t="s">
        <v>63</v>
      </c>
      <c r="C27" s="16">
        <v>2341</v>
      </c>
      <c r="D27" s="26">
        <v>7.803333333333333E-2</v>
      </c>
      <c r="E27" s="16">
        <v>582</v>
      </c>
      <c r="F27" s="26">
        <v>0.24861170439982913</v>
      </c>
      <c r="G27" s="1"/>
      <c r="H27" s="1"/>
    </row>
    <row r="28" spans="1:8" ht="15">
      <c r="A28" s="5" t="s">
        <v>51</v>
      </c>
      <c r="B28" s="6" t="s">
        <v>65</v>
      </c>
      <c r="C28" s="17">
        <v>339</v>
      </c>
      <c r="D28" s="27">
        <v>1.1299999999999999E-2</v>
      </c>
      <c r="E28" s="17">
        <v>96</v>
      </c>
      <c r="F28" s="27">
        <v>0.2831858407079646</v>
      </c>
      <c r="G28" s="1"/>
      <c r="H28" s="1"/>
    </row>
    <row r="29" spans="1:8" ht="36" customHeight="1">
      <c r="A29" s="34" t="s">
        <v>162</v>
      </c>
      <c r="B29" s="32"/>
      <c r="C29" s="32"/>
      <c r="D29" s="32"/>
      <c r="E29" s="32"/>
      <c r="F29" s="32"/>
      <c r="G29" s="1"/>
      <c r="H29" s="1"/>
    </row>
    <row r="30" spans="1:8" ht="15">
      <c r="A30" s="1"/>
      <c r="B30" s="1"/>
      <c r="C30" s="1"/>
      <c r="D30" s="1"/>
      <c r="E30" s="1"/>
      <c r="F30" s="1"/>
      <c r="G30" s="1"/>
      <c r="H30" s="1"/>
    </row>
    <row r="31" spans="1:8" ht="15">
      <c r="A31" s="31" t="s">
        <v>163</v>
      </c>
      <c r="B31" s="32"/>
      <c r="C31" s="32"/>
      <c r="D31" s="32"/>
      <c r="E31" s="32"/>
      <c r="F31" s="32"/>
      <c r="G31" s="32"/>
      <c r="H31" s="32"/>
    </row>
    <row r="32" spans="1:8" ht="15">
      <c r="A32" s="33" t="s">
        <v>164</v>
      </c>
      <c r="B32" s="32"/>
      <c r="C32" s="32"/>
      <c r="D32" s="32"/>
      <c r="E32" s="32"/>
      <c r="F32" s="32"/>
      <c r="G32" s="32"/>
      <c r="H32" s="32"/>
    </row>
    <row r="33" spans="1:8" ht="30" customHeight="1">
      <c r="A33" s="2" t="s">
        <v>108</v>
      </c>
      <c r="B33" s="2" t="s">
        <v>165</v>
      </c>
      <c r="C33" s="2" t="s">
        <v>166</v>
      </c>
      <c r="D33" s="2" t="s">
        <v>167</v>
      </c>
      <c r="E33" s="2" t="s">
        <v>168</v>
      </c>
      <c r="F33" s="2" t="s">
        <v>169</v>
      </c>
      <c r="G33" s="2" t="s">
        <v>170</v>
      </c>
      <c r="H33" s="2" t="s">
        <v>171</v>
      </c>
    </row>
    <row r="34" spans="1:8" ht="15">
      <c r="A34" s="18">
        <v>-2</v>
      </c>
      <c r="B34" s="16">
        <v>2759</v>
      </c>
      <c r="C34" s="16">
        <v>3782</v>
      </c>
      <c r="D34" s="16">
        <v>4085</v>
      </c>
      <c r="E34" s="16">
        <v>4348</v>
      </c>
      <c r="F34" s="16">
        <v>4546</v>
      </c>
      <c r="G34" s="16">
        <v>4895</v>
      </c>
      <c r="H34" s="26">
        <v>0.13229430953243929</v>
      </c>
    </row>
    <row r="35" spans="1:8" ht="15">
      <c r="A35" s="18">
        <v>-1</v>
      </c>
      <c r="B35" s="16">
        <v>5686</v>
      </c>
      <c r="C35" s="16">
        <v>6050</v>
      </c>
      <c r="D35" s="16">
        <v>5938</v>
      </c>
      <c r="E35" s="16">
        <v>5687</v>
      </c>
      <c r="F35" s="16">
        <v>5539</v>
      </c>
      <c r="G35" s="16">
        <v>5740</v>
      </c>
      <c r="H35" s="26">
        <v>0.16778051354203308</v>
      </c>
    </row>
    <row r="36" spans="1:8" ht="15">
      <c r="A36" s="18">
        <v>0</v>
      </c>
      <c r="B36" s="16">
        <v>14737</v>
      </c>
      <c r="C36" s="16">
        <v>15730</v>
      </c>
      <c r="D36" s="16">
        <v>15764</v>
      </c>
      <c r="E36" s="16">
        <v>16455</v>
      </c>
      <c r="F36" s="16">
        <v>16947</v>
      </c>
      <c r="G36" s="16">
        <v>16286</v>
      </c>
      <c r="H36" s="26">
        <v>0.12811291307593134</v>
      </c>
    </row>
    <row r="37" spans="1:8" ht="15">
      <c r="A37" s="18">
        <v>1</v>
      </c>
      <c r="B37" s="16">
        <v>3688</v>
      </c>
      <c r="C37" s="16">
        <v>28</v>
      </c>
      <c r="D37" s="16">
        <v>4</v>
      </c>
      <c r="E37" s="16">
        <v>2</v>
      </c>
      <c r="F37" s="16">
        <v>0</v>
      </c>
      <c r="G37" s="16">
        <v>0</v>
      </c>
      <c r="H37" s="26">
        <v>0.33947939262472887</v>
      </c>
    </row>
    <row r="38" spans="1:8" ht="15">
      <c r="A38" s="18">
        <v>2</v>
      </c>
      <c r="B38" s="16">
        <v>2667</v>
      </c>
      <c r="C38" s="16">
        <v>3927</v>
      </c>
      <c r="D38" s="16">
        <v>3819</v>
      </c>
      <c r="E38" s="16">
        <v>3159</v>
      </c>
      <c r="F38" s="16">
        <v>2626</v>
      </c>
      <c r="G38" s="16">
        <v>2766</v>
      </c>
      <c r="H38" s="26">
        <v>0.69141357330333708</v>
      </c>
    </row>
    <row r="39" spans="1:8" ht="15">
      <c r="A39" s="18">
        <v>3</v>
      </c>
      <c r="B39" s="16">
        <v>322</v>
      </c>
      <c r="C39" s="16">
        <v>326</v>
      </c>
      <c r="D39" s="16">
        <v>240</v>
      </c>
      <c r="E39" s="16">
        <v>180</v>
      </c>
      <c r="F39" s="16">
        <v>178</v>
      </c>
      <c r="G39" s="16">
        <v>184</v>
      </c>
      <c r="H39" s="26">
        <v>0.75776397515527949</v>
      </c>
    </row>
    <row r="40" spans="1:8" ht="15">
      <c r="A40" s="18">
        <v>4</v>
      </c>
      <c r="B40" s="16">
        <v>76</v>
      </c>
      <c r="C40" s="16">
        <v>99</v>
      </c>
      <c r="D40" s="16">
        <v>76</v>
      </c>
      <c r="E40" s="16">
        <v>69</v>
      </c>
      <c r="F40" s="16">
        <v>84</v>
      </c>
      <c r="G40" s="16">
        <v>49</v>
      </c>
      <c r="H40" s="26">
        <v>0.68421052631578949</v>
      </c>
    </row>
    <row r="41" spans="1:8" ht="15">
      <c r="A41" s="18">
        <v>5</v>
      </c>
      <c r="B41" s="16">
        <v>26</v>
      </c>
      <c r="C41" s="16">
        <v>25</v>
      </c>
      <c r="D41" s="16">
        <v>21</v>
      </c>
      <c r="E41" s="16">
        <v>35</v>
      </c>
      <c r="F41" s="16">
        <v>17</v>
      </c>
      <c r="G41" s="16">
        <v>13</v>
      </c>
      <c r="H41" s="26">
        <v>0.5</v>
      </c>
    </row>
    <row r="42" spans="1:8" ht="15">
      <c r="A42" s="18">
        <v>6</v>
      </c>
      <c r="B42" s="16">
        <v>11</v>
      </c>
      <c r="C42" s="16">
        <v>12</v>
      </c>
      <c r="D42" s="16">
        <v>23</v>
      </c>
      <c r="E42" s="16">
        <v>5</v>
      </c>
      <c r="F42" s="16">
        <v>4</v>
      </c>
      <c r="G42" s="16">
        <v>19</v>
      </c>
      <c r="H42" s="26">
        <v>0.54545454545454541</v>
      </c>
    </row>
    <row r="43" spans="1:8" ht="15">
      <c r="A43" s="18">
        <v>7</v>
      </c>
      <c r="B43" s="16">
        <v>9</v>
      </c>
      <c r="C43" s="16">
        <v>20</v>
      </c>
      <c r="D43" s="16">
        <v>27</v>
      </c>
      <c r="E43" s="16">
        <v>58</v>
      </c>
      <c r="F43" s="16">
        <v>58</v>
      </c>
      <c r="G43" s="16">
        <v>46</v>
      </c>
      <c r="H43" s="26">
        <v>0.77777777777777779</v>
      </c>
    </row>
    <row r="44" spans="1:8" ht="15">
      <c r="A44" s="19">
        <v>8</v>
      </c>
      <c r="B44" s="17">
        <v>19</v>
      </c>
      <c r="C44" s="17">
        <v>1</v>
      </c>
      <c r="D44" s="17">
        <v>3</v>
      </c>
      <c r="E44" s="17">
        <v>2</v>
      </c>
      <c r="F44" s="17">
        <v>1</v>
      </c>
      <c r="G44" s="17">
        <v>2</v>
      </c>
      <c r="H44" s="27">
        <v>0.57894736842105265</v>
      </c>
    </row>
    <row r="45" spans="1:8" ht="36" customHeight="1">
      <c r="A45" s="34" t="s">
        <v>172</v>
      </c>
      <c r="B45" s="32"/>
      <c r="C45" s="32"/>
      <c r="D45" s="32"/>
      <c r="E45" s="32"/>
      <c r="F45" s="32"/>
      <c r="G45" s="32"/>
      <c r="H45" s="32"/>
    </row>
    <row r="46" spans="1:8" ht="15">
      <c r="A46" s="1"/>
      <c r="B46" s="1"/>
      <c r="C46" s="1"/>
      <c r="D46" s="1"/>
      <c r="E46" s="1"/>
      <c r="F46" s="1"/>
      <c r="G46" s="1"/>
      <c r="H46" s="1"/>
    </row>
    <row r="47" spans="1:8" ht="15">
      <c r="A47" s="1"/>
      <c r="B47" s="1"/>
      <c r="C47" s="1"/>
      <c r="D47" s="1"/>
      <c r="E47" s="1"/>
      <c r="F47" s="1"/>
      <c r="G47" s="1"/>
      <c r="H47" s="1"/>
    </row>
    <row r="48" spans="1:8" ht="15">
      <c r="A48" s="1"/>
      <c r="B48" s="1"/>
      <c r="C48" s="1"/>
      <c r="D48" s="1"/>
      <c r="E48" s="1"/>
      <c r="F48" s="1"/>
      <c r="G48" s="1"/>
      <c r="H48" s="1"/>
    </row>
    <row r="49" spans="1:8" ht="15">
      <c r="A49" s="1"/>
      <c r="B49" s="1"/>
      <c r="C49" s="1"/>
      <c r="D49" s="1"/>
      <c r="E49" s="1"/>
      <c r="F49" s="1"/>
      <c r="G49" s="1"/>
      <c r="H49" s="1"/>
    </row>
    <row r="50" spans="1:8" ht="15">
      <c r="A50" s="1"/>
      <c r="B50" s="1"/>
      <c r="C50" s="1"/>
      <c r="D50" s="1"/>
      <c r="E50" s="1"/>
      <c r="F50" s="1"/>
      <c r="G50" s="1"/>
      <c r="H50" s="1"/>
    </row>
    <row r="51" spans="1:8" ht="15">
      <c r="A51" s="1"/>
      <c r="B51" s="1"/>
      <c r="C51" s="1"/>
      <c r="D51" s="1"/>
      <c r="E51" s="1"/>
      <c r="F51" s="1"/>
      <c r="G51" s="1"/>
      <c r="H51" s="1"/>
    </row>
    <row r="52" spans="1:8" ht="15">
      <c r="A52" s="1"/>
      <c r="B52" s="1"/>
      <c r="C52" s="1"/>
      <c r="D52" s="1"/>
      <c r="E52" s="1"/>
      <c r="F52" s="1"/>
      <c r="G52" s="1"/>
      <c r="H52" s="1"/>
    </row>
    <row r="53" spans="1:8" ht="15">
      <c r="A53" s="1"/>
      <c r="B53" s="1"/>
      <c r="C53" s="1"/>
      <c r="D53" s="1"/>
      <c r="E53" s="1"/>
      <c r="F53" s="1"/>
      <c r="G53" s="1"/>
      <c r="H53" s="1"/>
    </row>
    <row r="54" spans="1:8" ht="15">
      <c r="A54" s="1"/>
      <c r="B54" s="1"/>
      <c r="C54" s="1"/>
      <c r="D54" s="1"/>
      <c r="E54" s="1"/>
      <c r="F54" s="1"/>
      <c r="G54" s="1"/>
      <c r="H54" s="1"/>
    </row>
    <row r="55" spans="1:8" ht="15">
      <c r="A55" s="1"/>
      <c r="B55" s="1"/>
      <c r="C55" s="1"/>
      <c r="D55" s="1"/>
      <c r="E55" s="1"/>
      <c r="F55" s="1"/>
      <c r="G55" s="1"/>
      <c r="H55" s="1"/>
    </row>
    <row r="56" spans="1:8" ht="15">
      <c r="A56" s="1"/>
      <c r="B56" s="1"/>
      <c r="C56" s="1"/>
      <c r="D56" s="1"/>
      <c r="E56" s="1"/>
      <c r="F56" s="1"/>
      <c r="G56" s="1"/>
      <c r="H56" s="1"/>
    </row>
    <row r="57" spans="1:8" ht="15">
      <c r="A57" s="1"/>
      <c r="B57" s="1"/>
      <c r="C57" s="1"/>
      <c r="D57" s="1"/>
      <c r="E57" s="1"/>
      <c r="F57" s="1"/>
      <c r="G57" s="1"/>
      <c r="H57" s="1"/>
    </row>
    <row r="58" spans="1:8" ht="15">
      <c r="A58" s="1"/>
      <c r="B58" s="1"/>
      <c r="C58" s="1"/>
      <c r="D58" s="1"/>
      <c r="E58" s="1"/>
      <c r="F58" s="1"/>
      <c r="G58" s="1"/>
      <c r="H58" s="1"/>
    </row>
    <row r="59" spans="1:8" ht="15">
      <c r="A59" s="1"/>
      <c r="B59" s="1"/>
      <c r="C59" s="1"/>
      <c r="D59" s="1"/>
      <c r="E59" s="1"/>
      <c r="F59" s="1"/>
      <c r="G59" s="1"/>
      <c r="H59" s="1"/>
    </row>
    <row r="60" spans="1:8" ht="15">
      <c r="A60" s="1"/>
      <c r="B60" s="1"/>
      <c r="C60" s="1"/>
      <c r="D60" s="1"/>
      <c r="E60" s="1"/>
      <c r="F60" s="1"/>
      <c r="G60" s="1"/>
      <c r="H60" s="1"/>
    </row>
    <row r="61" spans="1:8" ht="15">
      <c r="A61" s="1"/>
      <c r="B61" s="1"/>
      <c r="C61" s="1"/>
      <c r="D61" s="1"/>
      <c r="E61" s="1"/>
      <c r="F61" s="1"/>
      <c r="G61" s="1"/>
      <c r="H61" s="1"/>
    </row>
    <row r="62" spans="1:8" ht="15">
      <c r="A62" s="1"/>
      <c r="B62" s="1"/>
      <c r="C62" s="1"/>
      <c r="D62" s="1"/>
      <c r="E62" s="1"/>
      <c r="F62" s="1"/>
      <c r="G62" s="1"/>
      <c r="H62" s="1"/>
    </row>
    <row r="63" spans="1:8" ht="15">
      <c r="A63" s="1"/>
      <c r="B63" s="1"/>
      <c r="C63" s="1"/>
      <c r="D63" s="1"/>
      <c r="E63" s="1"/>
      <c r="F63" s="1"/>
      <c r="G63" s="1"/>
      <c r="H63" s="1"/>
    </row>
    <row r="64" spans="1:8" ht="15">
      <c r="A64" s="1"/>
      <c r="B64" s="1"/>
      <c r="C64" s="1"/>
      <c r="D64" s="1"/>
      <c r="E64" s="1"/>
      <c r="F64" s="1"/>
      <c r="G64" s="1"/>
      <c r="H64" s="1"/>
    </row>
    <row r="65" spans="1:8" ht="15">
      <c r="A65" s="1"/>
      <c r="B65" s="1"/>
      <c r="C65" s="1"/>
      <c r="D65" s="1"/>
      <c r="E65" s="1"/>
      <c r="F65" s="1"/>
      <c r="G65" s="1"/>
      <c r="H65" s="1"/>
    </row>
    <row r="66" spans="1:8" ht="15">
      <c r="A66" s="1"/>
      <c r="B66" s="1"/>
      <c r="C66" s="1"/>
      <c r="D66" s="1"/>
      <c r="E66" s="1"/>
      <c r="F66" s="1"/>
      <c r="G66" s="1"/>
      <c r="H66" s="1"/>
    </row>
    <row r="67" spans="1:8" ht="15">
      <c r="A67" s="1"/>
      <c r="B67" s="1"/>
      <c r="C67" s="1"/>
      <c r="D67" s="1"/>
      <c r="E67" s="1"/>
      <c r="F67" s="1"/>
      <c r="G67" s="1"/>
      <c r="H67" s="1"/>
    </row>
    <row r="68" spans="1:8" ht="15">
      <c r="A68" s="1"/>
      <c r="B68" s="1"/>
      <c r="C68" s="1"/>
      <c r="D68" s="1"/>
      <c r="E68" s="1"/>
      <c r="F68" s="1"/>
      <c r="G68" s="1"/>
      <c r="H68" s="1"/>
    </row>
    <row r="69" spans="1:8" ht="15">
      <c r="A69" s="1"/>
      <c r="B69" s="1"/>
      <c r="C69" s="1"/>
      <c r="D69" s="1"/>
      <c r="E69" s="1"/>
      <c r="F69" s="1"/>
      <c r="G69" s="1"/>
      <c r="H69" s="1"/>
    </row>
    <row r="70" spans="1:8" ht="15">
      <c r="A70" s="1"/>
      <c r="B70" s="1"/>
      <c r="C70" s="1"/>
      <c r="D70" s="1"/>
      <c r="E70" s="1"/>
      <c r="F70" s="1"/>
      <c r="G70" s="1"/>
      <c r="H70" s="1"/>
    </row>
    <row r="71" spans="1:8" ht="15">
      <c r="A71" s="1"/>
      <c r="B71" s="1"/>
      <c r="C71" s="1"/>
      <c r="D71" s="1"/>
      <c r="E71" s="1"/>
      <c r="F71" s="1"/>
      <c r="G71" s="1"/>
      <c r="H71" s="1"/>
    </row>
    <row r="72" spans="1:8" ht="15">
      <c r="A72" s="1"/>
      <c r="B72" s="1"/>
      <c r="C72" s="1"/>
      <c r="D72" s="1"/>
      <c r="E72" s="1"/>
      <c r="F72" s="1"/>
      <c r="G72" s="1"/>
      <c r="H72" s="1"/>
    </row>
    <row r="73" spans="1:8" ht="15">
      <c r="A73" s="1"/>
      <c r="B73" s="1"/>
      <c r="C73" s="1"/>
      <c r="D73" s="1"/>
      <c r="E73" s="1"/>
      <c r="F73" s="1"/>
      <c r="G73" s="1"/>
      <c r="H73" s="1"/>
    </row>
    <row r="74" spans="1:8" ht="15">
      <c r="A74" s="1"/>
      <c r="B74" s="1"/>
      <c r="C74" s="1"/>
      <c r="D74" s="1"/>
      <c r="E74" s="1"/>
      <c r="F74" s="1"/>
      <c r="G74" s="1"/>
      <c r="H74" s="1"/>
    </row>
    <row r="75" spans="1:8" ht="15">
      <c r="A75" s="1"/>
      <c r="B75" s="1"/>
      <c r="C75" s="1"/>
      <c r="D75" s="1"/>
      <c r="E75" s="1"/>
      <c r="F75" s="1"/>
      <c r="G75" s="1"/>
      <c r="H75" s="1"/>
    </row>
  </sheetData>
  <mergeCells count="11">
    <mergeCell ref="A1:H1"/>
    <mergeCell ref="A2:H2"/>
    <mergeCell ref="A5:C5"/>
    <mergeCell ref="A6:C6"/>
    <mergeCell ref="A10:C10"/>
    <mergeCell ref="A45:H45"/>
    <mergeCell ref="A12:F12"/>
    <mergeCell ref="A13:F13"/>
    <mergeCell ref="A29:F29"/>
    <mergeCell ref="A31:H31"/>
    <mergeCell ref="A32:H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2"/>
  <sheetViews>
    <sheetView showGridLines="0" tabSelected="1" workbookViewId="0">
      <pane xSplit="1" ySplit="4" topLeftCell="B23" activePane="bottomRight" state="frozen"/>
      <selection pane="topRight"/>
      <selection pane="bottomLeft"/>
      <selection pane="bottomRight" activeCell="A5" sqref="A5:P5"/>
    </sheetView>
  </sheetViews>
  <sheetFormatPr defaultRowHeight="14.25"/>
  <cols>
    <col min="1" max="1" width="19" customWidth="1"/>
    <col min="2" max="16" width="13" customWidth="1"/>
  </cols>
  <sheetData>
    <row r="1" spans="1:16" ht="27.95" customHeight="1">
      <c r="A1" s="35" t="s">
        <v>173</v>
      </c>
      <c r="B1" s="32"/>
      <c r="C1" s="32"/>
      <c r="D1" s="32"/>
      <c r="E1" s="32"/>
      <c r="F1" s="32"/>
      <c r="G1" s="32"/>
      <c r="H1" s="32"/>
      <c r="I1" s="32"/>
      <c r="J1" s="32"/>
      <c r="K1" s="32"/>
      <c r="L1" s="32"/>
      <c r="M1" s="32"/>
      <c r="N1" s="32"/>
      <c r="O1" s="32"/>
      <c r="P1" s="32"/>
    </row>
    <row r="2" spans="1:16" ht="24" customHeight="1">
      <c r="A2" s="36" t="s">
        <v>174</v>
      </c>
      <c r="B2" s="32"/>
      <c r="C2" s="32"/>
      <c r="D2" s="32"/>
      <c r="E2" s="32"/>
      <c r="F2" s="32"/>
      <c r="G2" s="32"/>
      <c r="H2" s="32"/>
      <c r="I2" s="32"/>
      <c r="J2" s="32"/>
      <c r="K2" s="32"/>
      <c r="L2" s="32"/>
      <c r="M2" s="32"/>
      <c r="N2" s="32"/>
      <c r="O2" s="32"/>
      <c r="P2" s="32"/>
    </row>
    <row r="3" spans="1:16" ht="15">
      <c r="A3" s="1"/>
      <c r="B3" s="1"/>
      <c r="C3" s="1"/>
      <c r="D3" s="1"/>
      <c r="E3" s="1"/>
      <c r="F3" s="1"/>
      <c r="G3" s="1"/>
      <c r="H3" s="1"/>
      <c r="I3" s="1"/>
      <c r="J3" s="1"/>
      <c r="K3" s="1"/>
      <c r="L3" s="1"/>
      <c r="M3" s="1"/>
      <c r="N3" s="1"/>
      <c r="O3" s="1"/>
      <c r="P3" s="1"/>
    </row>
    <row r="4" spans="1:16" ht="15">
      <c r="A4" s="1"/>
      <c r="B4" s="1"/>
      <c r="C4" s="1"/>
      <c r="D4" s="1"/>
      <c r="E4" s="1"/>
      <c r="F4" s="1"/>
      <c r="G4" s="1"/>
      <c r="H4" s="1"/>
      <c r="I4" s="1"/>
      <c r="J4" s="1"/>
      <c r="K4" s="1"/>
      <c r="L4" s="1"/>
      <c r="M4" s="1"/>
      <c r="N4" s="1"/>
      <c r="O4" s="1"/>
      <c r="P4" s="1"/>
    </row>
    <row r="5" spans="1:16" ht="15">
      <c r="A5" s="31" t="s">
        <v>175</v>
      </c>
      <c r="B5" s="32"/>
      <c r="C5" s="32"/>
      <c r="D5" s="32"/>
      <c r="E5" s="32"/>
      <c r="F5" s="32"/>
      <c r="G5" s="32"/>
      <c r="H5" s="32"/>
      <c r="I5" s="32"/>
      <c r="J5" s="32"/>
      <c r="K5" s="32"/>
      <c r="L5" s="32"/>
      <c r="M5" s="32"/>
      <c r="N5" s="32"/>
      <c r="O5" s="32"/>
      <c r="P5" s="32"/>
    </row>
    <row r="6" spans="1:16" ht="15">
      <c r="A6" s="33" t="s">
        <v>176</v>
      </c>
      <c r="B6" s="32"/>
      <c r="C6" s="32"/>
      <c r="D6" s="32"/>
      <c r="E6" s="32"/>
      <c r="F6" s="32"/>
      <c r="G6" s="32"/>
      <c r="H6" s="32"/>
      <c r="I6" s="32"/>
      <c r="J6" s="32"/>
      <c r="K6" s="32"/>
      <c r="L6" s="32"/>
      <c r="M6" s="32"/>
      <c r="N6" s="32"/>
      <c r="O6" s="32"/>
      <c r="P6" s="32"/>
    </row>
    <row r="7" spans="1:16" ht="30" customHeight="1">
      <c r="A7" s="2" t="s">
        <v>26</v>
      </c>
      <c r="B7" s="2" t="s">
        <v>177</v>
      </c>
      <c r="C7" s="2" t="s">
        <v>178</v>
      </c>
      <c r="D7" s="2" t="s">
        <v>179</v>
      </c>
      <c r="E7" s="2" t="s">
        <v>180</v>
      </c>
      <c r="F7" s="2" t="s">
        <v>181</v>
      </c>
      <c r="G7" s="2" t="s">
        <v>182</v>
      </c>
      <c r="H7" s="2" t="s">
        <v>183</v>
      </c>
      <c r="I7" s="2" t="s">
        <v>184</v>
      </c>
      <c r="J7" s="2" t="s">
        <v>185</v>
      </c>
      <c r="K7" s="2" t="s">
        <v>186</v>
      </c>
      <c r="L7" s="2" t="s">
        <v>187</v>
      </c>
      <c r="M7" s="2" t="s">
        <v>188</v>
      </c>
      <c r="N7" s="2" t="s">
        <v>189</v>
      </c>
      <c r="O7" s="2" t="s">
        <v>190</v>
      </c>
      <c r="P7" s="2" t="s">
        <v>191</v>
      </c>
    </row>
    <row r="8" spans="1:16" ht="15">
      <c r="A8" s="4" t="s">
        <v>177</v>
      </c>
      <c r="B8" s="28">
        <v>1</v>
      </c>
      <c r="C8" s="28">
        <v>0.14471279755733674</v>
      </c>
      <c r="D8" s="28">
        <v>0.28542986496498995</v>
      </c>
      <c r="E8" s="28">
        <v>0.27831436399776105</v>
      </c>
      <c r="F8" s="28">
        <v>0.28323578358168416</v>
      </c>
      <c r="G8" s="28">
        <v>0.29398762371598486</v>
      </c>
      <c r="H8" s="28">
        <v>0.29556233765823164</v>
      </c>
      <c r="I8" s="28">
        <v>0.29038895064794745</v>
      </c>
      <c r="J8" s="28">
        <v>0.1952359152322094</v>
      </c>
      <c r="K8" s="28">
        <v>0.17840795368370507</v>
      </c>
      <c r="L8" s="28">
        <v>0.21016674772338803</v>
      </c>
      <c r="M8" s="28">
        <v>0.20324241022458292</v>
      </c>
      <c r="N8" s="28">
        <v>0.21720243239549614</v>
      </c>
      <c r="O8" s="28">
        <v>0.21959536860441753</v>
      </c>
      <c r="P8" s="28">
        <v>-0.1535198763935072</v>
      </c>
    </row>
    <row r="9" spans="1:16" ht="15">
      <c r="A9" s="4" t="s">
        <v>178</v>
      </c>
      <c r="B9" s="28">
        <v>0.14471279755733674</v>
      </c>
      <c r="C9" s="28">
        <v>1</v>
      </c>
      <c r="D9" s="28">
        <v>5.6238533260566589E-2</v>
      </c>
      <c r="E9" s="28">
        <v>5.4283074350342443E-2</v>
      </c>
      <c r="F9" s="28">
        <v>5.3709705178660236E-2</v>
      </c>
      <c r="G9" s="28">
        <v>5.1353093243321435E-2</v>
      </c>
      <c r="H9" s="28">
        <v>4.9345048112611777E-2</v>
      </c>
      <c r="I9" s="28">
        <v>4.7612677990511255E-2</v>
      </c>
      <c r="J9" s="28">
        <v>2.6146679056989194E-2</v>
      </c>
      <c r="K9" s="28">
        <v>2.1784893392614194E-2</v>
      </c>
      <c r="L9" s="28">
        <v>2.9247353045011425E-2</v>
      </c>
      <c r="M9" s="28">
        <v>2.1379005615589863E-2</v>
      </c>
      <c r="N9" s="28">
        <v>2.2849973558558761E-2</v>
      </c>
      <c r="O9" s="28">
        <v>1.9478152969869801E-2</v>
      </c>
      <c r="P9" s="28">
        <v>1.3889834301962887E-2</v>
      </c>
    </row>
    <row r="10" spans="1:16" ht="15">
      <c r="A10" s="4" t="s">
        <v>179</v>
      </c>
      <c r="B10" s="28">
        <v>0.28542986496498995</v>
      </c>
      <c r="C10" s="28">
        <v>5.6238533260566589E-2</v>
      </c>
      <c r="D10" s="28">
        <v>1</v>
      </c>
      <c r="E10" s="28">
        <v>0.95148367275181356</v>
      </c>
      <c r="F10" s="28">
        <v>0.89227852912717609</v>
      </c>
      <c r="G10" s="28">
        <v>0.86027218902930946</v>
      </c>
      <c r="H10" s="28">
        <v>0.82977860583300134</v>
      </c>
      <c r="I10" s="28">
        <v>0.80265018855284553</v>
      </c>
      <c r="J10" s="28">
        <v>0.14027727757532418</v>
      </c>
      <c r="K10" s="28">
        <v>9.9355034972768305E-2</v>
      </c>
      <c r="L10" s="28">
        <v>0.15688713847568506</v>
      </c>
      <c r="M10" s="28">
        <v>0.15830253328354005</v>
      </c>
      <c r="N10" s="28">
        <v>0.16702571208291594</v>
      </c>
      <c r="O10" s="28">
        <v>0.17934112200688435</v>
      </c>
      <c r="P10" s="28">
        <v>-1.9644197143221562E-2</v>
      </c>
    </row>
    <row r="11" spans="1:16" ht="15">
      <c r="A11" s="4" t="s">
        <v>180</v>
      </c>
      <c r="B11" s="28">
        <v>0.27831436399776105</v>
      </c>
      <c r="C11" s="28">
        <v>5.4283074350342443E-2</v>
      </c>
      <c r="D11" s="28">
        <v>0.95148367275181356</v>
      </c>
      <c r="E11" s="28">
        <v>1</v>
      </c>
      <c r="F11" s="28">
        <v>0.92832625927148549</v>
      </c>
      <c r="G11" s="28">
        <v>0.89248229125772094</v>
      </c>
      <c r="H11" s="28">
        <v>0.859778307271445</v>
      </c>
      <c r="I11" s="28">
        <v>0.83159355910182131</v>
      </c>
      <c r="J11" s="28">
        <v>0.28036535701409987</v>
      </c>
      <c r="K11" s="28">
        <v>0.10085087751752875</v>
      </c>
      <c r="L11" s="28">
        <v>0.15071819370167511</v>
      </c>
      <c r="M11" s="28">
        <v>0.14739810422001154</v>
      </c>
      <c r="N11" s="28">
        <v>0.15795741162396421</v>
      </c>
      <c r="O11" s="28">
        <v>0.17425616563434326</v>
      </c>
      <c r="P11" s="28">
        <v>-1.4193218088215756E-2</v>
      </c>
    </row>
    <row r="12" spans="1:16" ht="15">
      <c r="A12" s="4" t="s">
        <v>181</v>
      </c>
      <c r="B12" s="28">
        <v>0.28323578358168416</v>
      </c>
      <c r="C12" s="28">
        <v>5.3709705178660236E-2</v>
      </c>
      <c r="D12" s="28">
        <v>0.89227852912717609</v>
      </c>
      <c r="E12" s="28">
        <v>0.92832625927148549</v>
      </c>
      <c r="F12" s="28">
        <v>1</v>
      </c>
      <c r="G12" s="28">
        <v>0.92396945659098229</v>
      </c>
      <c r="H12" s="28">
        <v>0.88390969736201552</v>
      </c>
      <c r="I12" s="28">
        <v>0.85332009059404679</v>
      </c>
      <c r="J12" s="28">
        <v>0.24433523760815992</v>
      </c>
      <c r="K12" s="28">
        <v>0.31693597717969058</v>
      </c>
      <c r="L12" s="28">
        <v>0.1300111816244208</v>
      </c>
      <c r="M12" s="28">
        <v>0.14340460499244426</v>
      </c>
      <c r="N12" s="28">
        <v>0.17971235040649314</v>
      </c>
      <c r="O12" s="28">
        <v>0.18232596615205338</v>
      </c>
      <c r="P12" s="28">
        <v>-1.4075518043214726E-2</v>
      </c>
    </row>
    <row r="13" spans="1:16" ht="15">
      <c r="A13" s="4" t="s">
        <v>182</v>
      </c>
      <c r="B13" s="28">
        <v>0.29398762371598486</v>
      </c>
      <c r="C13" s="28">
        <v>5.1353093243321435E-2</v>
      </c>
      <c r="D13" s="28">
        <v>0.86027218902930946</v>
      </c>
      <c r="E13" s="28">
        <v>0.89248229125772094</v>
      </c>
      <c r="F13" s="28">
        <v>0.92396945659098229</v>
      </c>
      <c r="G13" s="28">
        <v>1</v>
      </c>
      <c r="H13" s="28">
        <v>0.94013440408800042</v>
      </c>
      <c r="I13" s="28">
        <v>0.90094095479784209</v>
      </c>
      <c r="J13" s="28">
        <v>0.23301185215343712</v>
      </c>
      <c r="K13" s="28">
        <v>0.20756372904207548</v>
      </c>
      <c r="L13" s="28">
        <v>0.3000225291116479</v>
      </c>
      <c r="M13" s="28">
        <v>0.13019140778780797</v>
      </c>
      <c r="N13" s="28">
        <v>0.16043303762900443</v>
      </c>
      <c r="O13" s="28">
        <v>0.17763699418674461</v>
      </c>
      <c r="P13" s="28">
        <v>-1.0156495880289674E-2</v>
      </c>
    </row>
    <row r="14" spans="1:16" ht="15">
      <c r="A14" s="4" t="s">
        <v>183</v>
      </c>
      <c r="B14" s="28">
        <v>0.29556233765823164</v>
      </c>
      <c r="C14" s="28">
        <v>4.9345048112611777E-2</v>
      </c>
      <c r="D14" s="28">
        <v>0.82977860583300134</v>
      </c>
      <c r="E14" s="28">
        <v>0.859778307271445</v>
      </c>
      <c r="F14" s="28">
        <v>0.88390969736201552</v>
      </c>
      <c r="G14" s="28">
        <v>0.94013440408800042</v>
      </c>
      <c r="H14" s="28">
        <v>1</v>
      </c>
      <c r="I14" s="28">
        <v>0.94619680705219567</v>
      </c>
      <c r="J14" s="28">
        <v>0.21703082377805019</v>
      </c>
      <c r="K14" s="28">
        <v>0.18124649105227689</v>
      </c>
      <c r="L14" s="28">
        <v>0.25230486173062916</v>
      </c>
      <c r="M14" s="28">
        <v>0.29311846318443119</v>
      </c>
      <c r="N14" s="28">
        <v>0.14157417995960681</v>
      </c>
      <c r="O14" s="28">
        <v>0.16418445035361773</v>
      </c>
      <c r="P14" s="28">
        <v>-6.7604638410147791E-3</v>
      </c>
    </row>
    <row r="15" spans="1:16" ht="15">
      <c r="A15" s="4" t="s">
        <v>184</v>
      </c>
      <c r="B15" s="28">
        <v>0.29038895064794745</v>
      </c>
      <c r="C15" s="28">
        <v>4.7612677990511255E-2</v>
      </c>
      <c r="D15" s="28">
        <v>0.80265018855284553</v>
      </c>
      <c r="E15" s="28">
        <v>0.83159355910182131</v>
      </c>
      <c r="F15" s="28">
        <v>0.85332009059404679</v>
      </c>
      <c r="G15" s="28">
        <v>0.90094095479784209</v>
      </c>
      <c r="H15" s="28">
        <v>0.94619680705219567</v>
      </c>
      <c r="I15" s="28">
        <v>1</v>
      </c>
      <c r="J15" s="28">
        <v>0.199965006163385</v>
      </c>
      <c r="K15" s="28">
        <v>0.1726629374180296</v>
      </c>
      <c r="L15" s="28">
        <v>0.23376979332693368</v>
      </c>
      <c r="M15" s="28">
        <v>0.25023682493343619</v>
      </c>
      <c r="N15" s="28">
        <v>0.30772888950115462</v>
      </c>
      <c r="O15" s="28">
        <v>0.11549416685164447</v>
      </c>
      <c r="P15" s="28">
        <v>-5.3723149148155579E-3</v>
      </c>
    </row>
    <row r="16" spans="1:16" ht="15">
      <c r="A16" s="4" t="s">
        <v>185</v>
      </c>
      <c r="B16" s="28">
        <v>0.1952359152322094</v>
      </c>
      <c r="C16" s="28">
        <v>2.6146679056989194E-2</v>
      </c>
      <c r="D16" s="28">
        <v>0.14027727757532418</v>
      </c>
      <c r="E16" s="28">
        <v>0.28036535701409987</v>
      </c>
      <c r="F16" s="28">
        <v>0.24433523760815992</v>
      </c>
      <c r="G16" s="28">
        <v>0.23301185215343712</v>
      </c>
      <c r="H16" s="28">
        <v>0.21703082377805019</v>
      </c>
      <c r="I16" s="28">
        <v>0.199965006163385</v>
      </c>
      <c r="J16" s="28">
        <v>1</v>
      </c>
      <c r="K16" s="28">
        <v>0.28557552868684261</v>
      </c>
      <c r="L16" s="28">
        <v>0.25219113895240292</v>
      </c>
      <c r="M16" s="28">
        <v>0.1995579311706798</v>
      </c>
      <c r="N16" s="28">
        <v>0.14845927501534273</v>
      </c>
      <c r="O16" s="28">
        <v>0.18573525544572639</v>
      </c>
      <c r="P16" s="28">
        <v>-7.2929487777851632E-2</v>
      </c>
    </row>
    <row r="17" spans="1:16" ht="15">
      <c r="A17" s="4" t="s">
        <v>186</v>
      </c>
      <c r="B17" s="28">
        <v>0.17840795368370507</v>
      </c>
      <c r="C17" s="28">
        <v>2.1784893392614194E-2</v>
      </c>
      <c r="D17" s="28">
        <v>9.9355034972768305E-2</v>
      </c>
      <c r="E17" s="28">
        <v>0.10085087751752875</v>
      </c>
      <c r="F17" s="28">
        <v>0.31693597717969058</v>
      </c>
      <c r="G17" s="28">
        <v>0.20756372904207548</v>
      </c>
      <c r="H17" s="28">
        <v>0.18124649105227689</v>
      </c>
      <c r="I17" s="28">
        <v>0.1726629374180296</v>
      </c>
      <c r="J17" s="28">
        <v>0.28557552868684261</v>
      </c>
      <c r="K17" s="28">
        <v>1</v>
      </c>
      <c r="L17" s="28">
        <v>0.24477045029284544</v>
      </c>
      <c r="M17" s="28">
        <v>0.18010674364562321</v>
      </c>
      <c r="N17" s="28">
        <v>0.18090775259417008</v>
      </c>
      <c r="O17" s="28">
        <v>0.15763391627233669</v>
      </c>
      <c r="P17" s="28">
        <v>-5.8578706582901575E-2</v>
      </c>
    </row>
    <row r="18" spans="1:16" ht="15">
      <c r="A18" s="4" t="s">
        <v>187</v>
      </c>
      <c r="B18" s="28">
        <v>0.21016674772338803</v>
      </c>
      <c r="C18" s="28">
        <v>2.9247353045011425E-2</v>
      </c>
      <c r="D18" s="28">
        <v>0.15688713847568506</v>
      </c>
      <c r="E18" s="28">
        <v>0.15071819370167511</v>
      </c>
      <c r="F18" s="28">
        <v>0.1300111816244208</v>
      </c>
      <c r="G18" s="28">
        <v>0.3000225291116479</v>
      </c>
      <c r="H18" s="28">
        <v>0.25230486173062916</v>
      </c>
      <c r="I18" s="28">
        <v>0.23376979332693368</v>
      </c>
      <c r="J18" s="28">
        <v>0.25219113895240292</v>
      </c>
      <c r="K18" s="28">
        <v>0.24477045029284544</v>
      </c>
      <c r="L18" s="28">
        <v>1</v>
      </c>
      <c r="M18" s="28">
        <v>0.21632509170084377</v>
      </c>
      <c r="N18" s="28">
        <v>0.1592137203087127</v>
      </c>
      <c r="O18" s="28">
        <v>0.16274003329183245</v>
      </c>
      <c r="P18" s="28">
        <v>-5.6250350990331634E-2</v>
      </c>
    </row>
    <row r="19" spans="1:16" ht="15">
      <c r="A19" s="4" t="s">
        <v>188</v>
      </c>
      <c r="B19" s="28">
        <v>0.20324241022458292</v>
      </c>
      <c r="C19" s="28">
        <v>2.1379005615589863E-2</v>
      </c>
      <c r="D19" s="28">
        <v>0.15830253328354005</v>
      </c>
      <c r="E19" s="28">
        <v>0.14739810422001154</v>
      </c>
      <c r="F19" s="28">
        <v>0.14340460499244426</v>
      </c>
      <c r="G19" s="28">
        <v>0.13019140778780797</v>
      </c>
      <c r="H19" s="28">
        <v>0.29311846318443119</v>
      </c>
      <c r="I19" s="28">
        <v>0.25023682493343619</v>
      </c>
      <c r="J19" s="28">
        <v>0.1995579311706798</v>
      </c>
      <c r="K19" s="28">
        <v>0.18010674364562321</v>
      </c>
      <c r="L19" s="28">
        <v>0.21632509170084377</v>
      </c>
      <c r="M19" s="28">
        <v>1</v>
      </c>
      <c r="N19" s="28">
        <v>0.15183043582617883</v>
      </c>
      <c r="O19" s="28">
        <v>0.15783391560137267</v>
      </c>
      <c r="P19" s="28">
        <v>-5.682740089288691E-2</v>
      </c>
    </row>
    <row r="20" spans="1:16" ht="15">
      <c r="A20" s="4" t="s">
        <v>189</v>
      </c>
      <c r="B20" s="28">
        <v>0.21720243239549614</v>
      </c>
      <c r="C20" s="28">
        <v>2.2849973558558761E-2</v>
      </c>
      <c r="D20" s="28">
        <v>0.16702571208291594</v>
      </c>
      <c r="E20" s="28">
        <v>0.15795741162396421</v>
      </c>
      <c r="F20" s="28">
        <v>0.17971235040649314</v>
      </c>
      <c r="G20" s="28">
        <v>0.16043303762900443</v>
      </c>
      <c r="H20" s="28">
        <v>0.14157417995960681</v>
      </c>
      <c r="I20" s="28">
        <v>0.30772888950115462</v>
      </c>
      <c r="J20" s="28">
        <v>0.14845927501534273</v>
      </c>
      <c r="K20" s="28">
        <v>0.18090775259417008</v>
      </c>
      <c r="L20" s="28">
        <v>0.1592137203087127</v>
      </c>
      <c r="M20" s="28">
        <v>0.15183043582617883</v>
      </c>
      <c r="N20" s="28">
        <v>1</v>
      </c>
      <c r="O20" s="28">
        <v>0.15489552525961545</v>
      </c>
      <c r="P20" s="28">
        <v>-5.5123515621088762E-2</v>
      </c>
    </row>
    <row r="21" spans="1:16" ht="15">
      <c r="A21" s="4" t="s">
        <v>190</v>
      </c>
      <c r="B21" s="28">
        <v>0.21959536860441753</v>
      </c>
      <c r="C21" s="28">
        <v>1.9478152969869801E-2</v>
      </c>
      <c r="D21" s="28">
        <v>0.17934112200688435</v>
      </c>
      <c r="E21" s="28">
        <v>0.17425616563434326</v>
      </c>
      <c r="F21" s="28">
        <v>0.18232596615205338</v>
      </c>
      <c r="G21" s="28">
        <v>0.17763699418674461</v>
      </c>
      <c r="H21" s="28">
        <v>0.16418445035361773</v>
      </c>
      <c r="I21" s="28">
        <v>0.11549416685164447</v>
      </c>
      <c r="J21" s="28">
        <v>0.18573525544572639</v>
      </c>
      <c r="K21" s="28">
        <v>0.15763391627233669</v>
      </c>
      <c r="L21" s="28">
        <v>0.16274003329183245</v>
      </c>
      <c r="M21" s="28">
        <v>0.15783391560137267</v>
      </c>
      <c r="N21" s="28">
        <v>0.15489552525961545</v>
      </c>
      <c r="O21" s="28">
        <v>1</v>
      </c>
      <c r="P21" s="28">
        <v>-5.3183340326127961E-2</v>
      </c>
    </row>
    <row r="22" spans="1:16" ht="15">
      <c r="A22" s="5" t="s">
        <v>191</v>
      </c>
      <c r="B22" s="29">
        <v>-0.1535198763935072</v>
      </c>
      <c r="C22" s="29">
        <v>1.3889834301962887E-2</v>
      </c>
      <c r="D22" s="29">
        <v>-1.9644197143221562E-2</v>
      </c>
      <c r="E22" s="29">
        <v>-1.4193218088215756E-2</v>
      </c>
      <c r="F22" s="29">
        <v>-1.4075518043214726E-2</v>
      </c>
      <c r="G22" s="29">
        <v>-1.0156495880289674E-2</v>
      </c>
      <c r="H22" s="29">
        <v>-6.7604638410147791E-3</v>
      </c>
      <c r="I22" s="29">
        <v>-5.3723149148155579E-3</v>
      </c>
      <c r="J22" s="29">
        <v>-7.2929487777851632E-2</v>
      </c>
      <c r="K22" s="29">
        <v>-5.8578706582901575E-2</v>
      </c>
      <c r="L22" s="29">
        <v>-5.6250350990331634E-2</v>
      </c>
      <c r="M22" s="29">
        <v>-5.682740089288691E-2</v>
      </c>
      <c r="N22" s="29">
        <v>-5.5123515621088762E-2</v>
      </c>
      <c r="O22" s="29">
        <v>-5.3183340326127961E-2</v>
      </c>
      <c r="P22" s="29">
        <v>1</v>
      </c>
    </row>
    <row r="23" spans="1:16" ht="36" customHeight="1">
      <c r="A23" s="34" t="s">
        <v>192</v>
      </c>
      <c r="B23" s="32"/>
      <c r="C23" s="32"/>
      <c r="D23" s="32"/>
      <c r="E23" s="32"/>
      <c r="F23" s="32"/>
      <c r="G23" s="32"/>
      <c r="H23" s="32"/>
      <c r="I23" s="32"/>
      <c r="J23" s="32"/>
      <c r="K23" s="32"/>
      <c r="L23" s="32"/>
      <c r="M23" s="32"/>
      <c r="N23" s="32"/>
      <c r="O23" s="32"/>
      <c r="P23" s="32"/>
    </row>
    <row r="24" spans="1:16" ht="15">
      <c r="A24" s="1"/>
      <c r="B24" s="1"/>
      <c r="C24" s="1"/>
      <c r="D24" s="1"/>
      <c r="E24" s="1"/>
      <c r="F24" s="1"/>
      <c r="G24" s="1"/>
      <c r="H24" s="1"/>
      <c r="I24" s="1"/>
      <c r="J24" s="1"/>
      <c r="K24" s="1"/>
      <c r="L24" s="1"/>
      <c r="M24" s="1"/>
      <c r="N24" s="1"/>
      <c r="O24" s="1"/>
      <c r="P24" s="1"/>
    </row>
    <row r="25" spans="1:16" ht="15">
      <c r="A25" s="31" t="s">
        <v>193</v>
      </c>
      <c r="B25" s="32"/>
      <c r="C25" s="32"/>
      <c r="D25" s="32"/>
      <c r="E25" s="32"/>
      <c r="F25" s="32"/>
      <c r="G25" s="32"/>
      <c r="H25" s="32"/>
      <c r="I25" s="32"/>
      <c r="J25" s="32"/>
      <c r="K25" s="32"/>
      <c r="L25" s="32"/>
      <c r="M25" s="32"/>
      <c r="N25" s="32"/>
      <c r="O25" s="32"/>
      <c r="P25" s="32"/>
    </row>
    <row r="26" spans="1:16" ht="27.95" customHeight="1">
      <c r="A26" s="39" t="s">
        <v>194</v>
      </c>
      <c r="B26" s="32"/>
      <c r="C26" s="32"/>
      <c r="D26" s="32"/>
      <c r="E26" s="32"/>
      <c r="F26" s="32"/>
      <c r="G26" s="32"/>
      <c r="H26" s="32"/>
      <c r="I26" s="32"/>
      <c r="J26" s="32"/>
      <c r="K26" s="32"/>
      <c r="L26" s="32"/>
      <c r="M26" s="32"/>
      <c r="N26" s="32"/>
      <c r="O26" s="32"/>
      <c r="P26" s="32"/>
    </row>
    <row r="27" spans="1:16" ht="27.95" customHeight="1">
      <c r="A27" s="39" t="s">
        <v>195</v>
      </c>
      <c r="B27" s="32"/>
      <c r="C27" s="32"/>
      <c r="D27" s="32"/>
      <c r="E27" s="32"/>
      <c r="F27" s="32"/>
      <c r="G27" s="32"/>
      <c r="H27" s="32"/>
      <c r="I27" s="32"/>
      <c r="J27" s="32"/>
      <c r="K27" s="32"/>
      <c r="L27" s="32"/>
      <c r="M27" s="32"/>
      <c r="N27" s="32"/>
      <c r="O27" s="32"/>
      <c r="P27" s="32"/>
    </row>
    <row r="28" spans="1:16" ht="27.95" customHeight="1">
      <c r="A28" s="39" t="s">
        <v>196</v>
      </c>
      <c r="B28" s="32"/>
      <c r="C28" s="32"/>
      <c r="D28" s="32"/>
      <c r="E28" s="32"/>
      <c r="F28" s="32"/>
      <c r="G28" s="32"/>
      <c r="H28" s="32"/>
      <c r="I28" s="32"/>
      <c r="J28" s="32"/>
      <c r="K28" s="32"/>
      <c r="L28" s="32"/>
      <c r="M28" s="32"/>
      <c r="N28" s="32"/>
      <c r="O28" s="32"/>
      <c r="P28" s="32"/>
    </row>
    <row r="29" spans="1:16" ht="15">
      <c r="A29" s="1"/>
      <c r="B29" s="1"/>
      <c r="C29" s="1"/>
      <c r="D29" s="1"/>
      <c r="E29" s="1"/>
      <c r="F29" s="1"/>
      <c r="G29" s="1"/>
      <c r="H29" s="1"/>
      <c r="I29" s="1"/>
      <c r="J29" s="1"/>
      <c r="K29" s="1"/>
      <c r="L29" s="1"/>
      <c r="M29" s="1"/>
      <c r="N29" s="1"/>
      <c r="O29" s="1"/>
      <c r="P29" s="1"/>
    </row>
    <row r="30" spans="1:16" ht="15">
      <c r="A30" s="1"/>
      <c r="B30" s="1"/>
      <c r="C30" s="1"/>
      <c r="D30" s="1"/>
      <c r="E30" s="1"/>
      <c r="F30" s="1"/>
      <c r="G30" s="1"/>
      <c r="H30" s="1"/>
      <c r="I30" s="1"/>
      <c r="J30" s="1"/>
      <c r="K30" s="1"/>
      <c r="L30" s="1"/>
      <c r="M30" s="1"/>
      <c r="N30" s="1"/>
      <c r="O30" s="1"/>
      <c r="P30" s="1"/>
    </row>
    <row r="31" spans="1:16" ht="15">
      <c r="A31" s="1"/>
      <c r="B31" s="1"/>
      <c r="C31" s="1"/>
      <c r="D31" s="1"/>
      <c r="E31" s="1"/>
      <c r="F31" s="1"/>
      <c r="G31" s="1"/>
      <c r="H31" s="1"/>
      <c r="I31" s="1"/>
      <c r="J31" s="1"/>
      <c r="K31" s="1"/>
      <c r="L31" s="1"/>
      <c r="M31" s="1"/>
      <c r="N31" s="1"/>
      <c r="O31" s="1"/>
      <c r="P31" s="1"/>
    </row>
    <row r="32" spans="1:16" ht="15">
      <c r="A32" s="1"/>
      <c r="B32" s="1"/>
      <c r="C32" s="1"/>
      <c r="D32" s="1"/>
      <c r="E32" s="1"/>
      <c r="F32" s="1"/>
      <c r="G32" s="1"/>
      <c r="H32" s="1"/>
      <c r="I32" s="1"/>
      <c r="J32" s="1"/>
      <c r="K32" s="1"/>
      <c r="L32" s="1"/>
      <c r="M32" s="1"/>
      <c r="N32" s="1"/>
      <c r="O32" s="1"/>
      <c r="P32" s="1"/>
    </row>
  </sheetData>
  <mergeCells count="9">
    <mergeCell ref="A25:P25"/>
    <mergeCell ref="A26:P26"/>
    <mergeCell ref="A27:P27"/>
    <mergeCell ref="A28:P28"/>
    <mergeCell ref="A1:P1"/>
    <mergeCell ref="A2:P2"/>
    <mergeCell ref="A5:P5"/>
    <mergeCell ref="A6:P6"/>
    <mergeCell ref="A23:P23"/>
  </mergeCells>
  <conditionalFormatting sqref="B8:P22">
    <cfRule type="colorScale" priority="1">
      <colorScale>
        <cfvo type="num" val="-1"/>
        <cfvo type="num" val="0"/>
        <cfvo type="num" val="1"/>
        <color rgb="FFD6604D"/>
        <color rgb="FFFFFFFF"/>
        <color rgb="FF4393C3"/>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0"/>
  <sheetViews>
    <sheetView showGridLines="0" workbookViewId="0">
      <pane ySplit="2" topLeftCell="A5" activePane="bottomLeft" state="frozen"/>
      <selection pane="bottomLeft" activeCell="B20" sqref="B20"/>
    </sheetView>
  </sheetViews>
  <sheetFormatPr defaultRowHeight="14.25"/>
  <cols>
    <col min="1" max="1" width="46" customWidth="1"/>
    <col min="2" max="2" width="72" customWidth="1"/>
    <col min="3" max="3" width="94" customWidth="1"/>
    <col min="4" max="4" width="58" customWidth="1"/>
  </cols>
  <sheetData>
    <row r="1" spans="1:4" ht="27.95" customHeight="1">
      <c r="A1" s="35" t="s">
        <v>197</v>
      </c>
      <c r="B1" s="32"/>
      <c r="C1" s="32"/>
      <c r="D1" s="32"/>
    </row>
    <row r="2" spans="1:4" ht="24" customHeight="1">
      <c r="A2" s="36" t="s">
        <v>198</v>
      </c>
      <c r="B2" s="32"/>
      <c r="C2" s="32"/>
      <c r="D2" s="32"/>
    </row>
    <row r="3" spans="1:4" ht="15">
      <c r="A3" s="1"/>
      <c r="B3" s="1"/>
      <c r="C3" s="1"/>
      <c r="D3" s="1"/>
    </row>
    <row r="4" spans="1:4" ht="15">
      <c r="A4" s="1"/>
      <c r="B4" s="1"/>
      <c r="C4" s="1"/>
      <c r="D4" s="1"/>
    </row>
    <row r="5" spans="1:4" ht="15">
      <c r="A5" s="31" t="s">
        <v>199</v>
      </c>
      <c r="B5" s="32"/>
      <c r="C5" s="32"/>
      <c r="D5" s="32"/>
    </row>
    <row r="6" spans="1:4" ht="15">
      <c r="A6" s="33" t="s">
        <v>200</v>
      </c>
      <c r="B6" s="32"/>
      <c r="C6" s="32"/>
      <c r="D6" s="32"/>
    </row>
    <row r="7" spans="1:4" ht="30" customHeight="1">
      <c r="A7" s="2" t="s">
        <v>201</v>
      </c>
      <c r="B7" s="2" t="s">
        <v>202</v>
      </c>
      <c r="C7" s="2" t="s">
        <v>203</v>
      </c>
      <c r="D7" s="2" t="s">
        <v>204</v>
      </c>
    </row>
    <row r="8" spans="1:4" ht="15">
      <c r="A8" s="4" t="s">
        <v>205</v>
      </c>
      <c r="B8" s="3" t="s">
        <v>206</v>
      </c>
      <c r="C8" s="3" t="s">
        <v>207</v>
      </c>
      <c r="D8" s="3" t="s">
        <v>208</v>
      </c>
    </row>
    <row r="9" spans="1:4" ht="15">
      <c r="A9" s="4" t="s">
        <v>209</v>
      </c>
      <c r="B9" s="3" t="s">
        <v>210</v>
      </c>
      <c r="C9" s="3" t="s">
        <v>211</v>
      </c>
      <c r="D9" s="3" t="s">
        <v>212</v>
      </c>
    </row>
    <row r="10" spans="1:4" ht="15">
      <c r="A10" s="4" t="s">
        <v>213</v>
      </c>
      <c r="B10" s="3" t="s">
        <v>214</v>
      </c>
      <c r="C10" s="3" t="s">
        <v>215</v>
      </c>
      <c r="D10" s="3" t="s">
        <v>216</v>
      </c>
    </row>
    <row r="11" spans="1:4" ht="15">
      <c r="A11" s="4" t="s">
        <v>217</v>
      </c>
      <c r="B11" s="3" t="s">
        <v>218</v>
      </c>
      <c r="C11" s="3" t="s">
        <v>219</v>
      </c>
      <c r="D11" s="3" t="s">
        <v>220</v>
      </c>
    </row>
    <row r="12" spans="1:4" ht="15">
      <c r="A12" s="4" t="s">
        <v>221</v>
      </c>
      <c r="B12" s="3" t="s">
        <v>222</v>
      </c>
      <c r="C12" s="3" t="s">
        <v>223</v>
      </c>
      <c r="D12" s="3" t="s">
        <v>224</v>
      </c>
    </row>
    <row r="13" spans="1:4" ht="15">
      <c r="A13" s="4" t="s">
        <v>225</v>
      </c>
      <c r="B13" s="3" t="s">
        <v>226</v>
      </c>
      <c r="C13" s="3" t="s">
        <v>227</v>
      </c>
      <c r="D13" s="3" t="s">
        <v>228</v>
      </c>
    </row>
    <row r="14" spans="1:4" ht="15">
      <c r="A14" s="4" t="s">
        <v>229</v>
      </c>
      <c r="B14" s="3" t="s">
        <v>230</v>
      </c>
      <c r="C14" s="3" t="s">
        <v>231</v>
      </c>
      <c r="D14" s="3" t="s">
        <v>232</v>
      </c>
    </row>
    <row r="15" spans="1:4" ht="15">
      <c r="A15" s="4" t="s">
        <v>233</v>
      </c>
      <c r="B15" s="3" t="s">
        <v>234</v>
      </c>
      <c r="C15" s="3" t="s">
        <v>235</v>
      </c>
      <c r="D15" s="3" t="s">
        <v>236</v>
      </c>
    </row>
    <row r="16" spans="1:4" ht="15">
      <c r="A16" s="4" t="s">
        <v>237</v>
      </c>
      <c r="B16" s="3" t="s">
        <v>238</v>
      </c>
      <c r="C16" s="3" t="s">
        <v>239</v>
      </c>
      <c r="D16" s="3" t="s">
        <v>240</v>
      </c>
    </row>
    <row r="17" spans="1:4" ht="15">
      <c r="A17" s="5" t="s">
        <v>241</v>
      </c>
      <c r="B17" s="6" t="s">
        <v>242</v>
      </c>
      <c r="C17" s="6" t="s">
        <v>243</v>
      </c>
      <c r="D17" s="6" t="s">
        <v>244</v>
      </c>
    </row>
    <row r="18" spans="1:4" ht="36" customHeight="1">
      <c r="A18" s="34" t="s">
        <v>245</v>
      </c>
      <c r="B18" s="32"/>
      <c r="C18" s="32"/>
      <c r="D18" s="32"/>
    </row>
    <row r="19" spans="1:4" ht="15">
      <c r="A19" s="1"/>
      <c r="B19" s="1"/>
      <c r="C19" s="1"/>
      <c r="D19" s="1"/>
    </row>
    <row r="20" spans="1:4" ht="15">
      <c r="A20" s="1"/>
      <c r="B20" s="1"/>
      <c r="C20" s="1"/>
      <c r="D20" s="1"/>
    </row>
    <row r="21" spans="1:4" ht="15">
      <c r="A21" s="1"/>
      <c r="B21" s="1"/>
      <c r="C21" s="1"/>
      <c r="D21" s="1"/>
    </row>
    <row r="22" spans="1:4" ht="15">
      <c r="A22" s="1"/>
      <c r="B22" s="1"/>
      <c r="C22" s="1"/>
      <c r="D22" s="1"/>
    </row>
    <row r="23" spans="1:4" ht="15">
      <c r="A23" s="1"/>
      <c r="B23" s="1"/>
      <c r="C23" s="1"/>
      <c r="D23" s="1"/>
    </row>
    <row r="24" spans="1:4" ht="15">
      <c r="A24" s="1"/>
      <c r="B24" s="1"/>
      <c r="C24" s="1"/>
      <c r="D24" s="1"/>
    </row>
    <row r="25" spans="1:4" ht="15">
      <c r="A25" s="1"/>
      <c r="B25" s="1"/>
      <c r="C25" s="1"/>
      <c r="D25" s="1"/>
    </row>
    <row r="26" spans="1:4" ht="15">
      <c r="A26" s="1"/>
      <c r="B26" s="1"/>
      <c r="C26" s="1"/>
      <c r="D26" s="1"/>
    </row>
    <row r="27" spans="1:4" ht="15">
      <c r="A27" s="1"/>
      <c r="B27" s="1"/>
      <c r="C27" s="1"/>
      <c r="D27" s="1"/>
    </row>
    <row r="28" spans="1:4" ht="15">
      <c r="A28" s="1"/>
      <c r="B28" s="1"/>
      <c r="C28" s="1"/>
      <c r="D28" s="1"/>
    </row>
    <row r="29" spans="1:4" ht="15">
      <c r="A29" s="1"/>
      <c r="B29" s="1"/>
      <c r="C29" s="1"/>
      <c r="D29" s="1"/>
    </row>
    <row r="30" spans="1:4" ht="15">
      <c r="A30" s="1"/>
      <c r="B30" s="1"/>
      <c r="C30" s="1"/>
      <c r="D30" s="1"/>
    </row>
    <row r="31" spans="1:4" ht="15">
      <c r="A31" s="1"/>
      <c r="B31" s="1"/>
      <c r="C31" s="1"/>
      <c r="D31" s="1"/>
    </row>
    <row r="32" spans="1:4" ht="15">
      <c r="A32" s="1"/>
      <c r="B32" s="1"/>
      <c r="C32" s="1"/>
      <c r="D32" s="1"/>
    </row>
    <row r="33" spans="1:4" ht="15">
      <c r="A33" s="1"/>
      <c r="B33" s="1"/>
      <c r="C33" s="1"/>
      <c r="D33" s="1"/>
    </row>
    <row r="34" spans="1:4" ht="15">
      <c r="A34" s="1"/>
      <c r="B34" s="1"/>
      <c r="C34" s="1"/>
      <c r="D34" s="1"/>
    </row>
    <row r="35" spans="1:4" ht="15">
      <c r="A35" s="1"/>
      <c r="B35" s="1"/>
      <c r="C35" s="1"/>
      <c r="D35" s="1"/>
    </row>
    <row r="36" spans="1:4" ht="15">
      <c r="A36" s="1"/>
      <c r="B36" s="1"/>
      <c r="C36" s="1"/>
      <c r="D36" s="1"/>
    </row>
    <row r="37" spans="1:4" ht="15">
      <c r="A37" s="1"/>
      <c r="B37" s="1"/>
      <c r="C37" s="1"/>
      <c r="D37" s="1"/>
    </row>
    <row r="38" spans="1:4" ht="15">
      <c r="A38" s="1"/>
      <c r="B38" s="1"/>
      <c r="C38" s="1"/>
      <c r="D38" s="1"/>
    </row>
    <row r="39" spans="1:4" ht="15">
      <c r="A39" s="1"/>
      <c r="B39" s="1"/>
      <c r="C39" s="1"/>
      <c r="D39" s="1"/>
    </row>
    <row r="40" spans="1:4" ht="15">
      <c r="A40" s="1"/>
      <c r="B40" s="1"/>
      <c r="C40" s="1"/>
      <c r="D40" s="1"/>
    </row>
  </sheetData>
  <mergeCells count="5">
    <mergeCell ref="A1:D1"/>
    <mergeCell ref="A2:D2"/>
    <mergeCell ref="A5:D5"/>
    <mergeCell ref="A6:D6"/>
    <mergeCell ref="A18: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5"/>
  <sheetViews>
    <sheetView showGridLines="0" workbookViewId="0">
      <pane ySplit="4" topLeftCell="A26" activePane="bottomLeft" state="frozen"/>
      <selection pane="bottomLeft" activeCell="A15" sqref="A15:C15"/>
    </sheetView>
  </sheetViews>
  <sheetFormatPr defaultRowHeight="14.25"/>
  <cols>
    <col min="1" max="1" width="31" customWidth="1"/>
    <col min="2" max="2" width="27" customWidth="1"/>
    <col min="3" max="3" width="23" customWidth="1"/>
    <col min="4" max="4" width="47" customWidth="1"/>
    <col min="5" max="5" width="58" customWidth="1"/>
    <col min="6" max="6" width="54" customWidth="1"/>
  </cols>
  <sheetData>
    <row r="1" spans="1:6" ht="27.95" customHeight="1">
      <c r="A1" s="35" t="s">
        <v>246</v>
      </c>
      <c r="B1" s="32"/>
      <c r="C1" s="32"/>
      <c r="D1" s="32"/>
      <c r="E1" s="32"/>
      <c r="F1" s="32"/>
    </row>
    <row r="2" spans="1:6" ht="24" customHeight="1">
      <c r="A2" s="36" t="s">
        <v>247</v>
      </c>
      <c r="B2" s="32"/>
      <c r="C2" s="32"/>
      <c r="D2" s="32"/>
      <c r="E2" s="32"/>
      <c r="F2" s="32"/>
    </row>
    <row r="3" spans="1:6" ht="15">
      <c r="A3" s="1"/>
      <c r="B3" s="1"/>
      <c r="C3" s="1"/>
      <c r="D3" s="1"/>
      <c r="E3" s="1"/>
      <c r="F3" s="1"/>
    </row>
    <row r="4" spans="1:6" ht="15">
      <c r="A4" s="1"/>
      <c r="B4" s="1"/>
      <c r="C4" s="1"/>
      <c r="D4" s="1"/>
      <c r="E4" s="1"/>
      <c r="F4" s="1"/>
    </row>
    <row r="5" spans="1:6" ht="15">
      <c r="A5" s="31" t="s">
        <v>248</v>
      </c>
      <c r="B5" s="32"/>
      <c r="C5" s="32"/>
      <c r="D5" s="1"/>
      <c r="E5" s="1"/>
      <c r="F5" s="1"/>
    </row>
    <row r="6" spans="1:6" ht="15">
      <c r="A6" s="33" t="s">
        <v>249</v>
      </c>
      <c r="B6" s="32"/>
      <c r="C6" s="32"/>
      <c r="D6" s="1"/>
      <c r="E6" s="1"/>
      <c r="F6" s="1"/>
    </row>
    <row r="7" spans="1:6" ht="30" customHeight="1">
      <c r="A7" s="2" t="s">
        <v>6</v>
      </c>
      <c r="B7" s="2" t="s">
        <v>250</v>
      </c>
      <c r="C7" s="2" t="s">
        <v>251</v>
      </c>
      <c r="D7" s="1"/>
      <c r="E7" s="1"/>
      <c r="F7" s="1"/>
    </row>
    <row r="8" spans="1:6" ht="42.75">
      <c r="A8" s="4" t="s">
        <v>7</v>
      </c>
      <c r="B8" s="3" t="s">
        <v>252</v>
      </c>
      <c r="C8" s="30" t="s">
        <v>253</v>
      </c>
      <c r="D8" s="1"/>
      <c r="E8" s="1"/>
      <c r="F8" s="1"/>
    </row>
    <row r="9" spans="1:6" ht="45">
      <c r="A9" s="4" t="s">
        <v>254</v>
      </c>
      <c r="B9" s="3" t="s">
        <v>255</v>
      </c>
      <c r="C9" s="3" t="s">
        <v>256</v>
      </c>
      <c r="D9" s="1"/>
      <c r="E9" s="1"/>
      <c r="F9" s="1"/>
    </row>
    <row r="10" spans="1:6" ht="45">
      <c r="A10" s="4" t="s">
        <v>257</v>
      </c>
      <c r="B10" s="3" t="s">
        <v>258</v>
      </c>
      <c r="C10" s="3" t="s">
        <v>259</v>
      </c>
      <c r="D10" s="1"/>
      <c r="E10" s="1"/>
      <c r="F10" s="1"/>
    </row>
    <row r="11" spans="1:6" ht="60">
      <c r="A11" s="4" t="s">
        <v>260</v>
      </c>
      <c r="B11" s="3" t="s">
        <v>261</v>
      </c>
      <c r="C11" s="3" t="s">
        <v>262</v>
      </c>
      <c r="D11" s="1"/>
      <c r="E11" s="1"/>
      <c r="F11" s="1"/>
    </row>
    <row r="12" spans="1:6" ht="45">
      <c r="A12" s="4" t="s">
        <v>263</v>
      </c>
      <c r="B12" s="3" t="s">
        <v>264</v>
      </c>
      <c r="C12" s="3" t="s">
        <v>265</v>
      </c>
      <c r="D12" s="1"/>
      <c r="E12" s="1"/>
      <c r="F12" s="1"/>
    </row>
    <row r="13" spans="1:6" ht="30">
      <c r="A13" s="4" t="s">
        <v>266</v>
      </c>
      <c r="B13" s="3" t="s">
        <v>267</v>
      </c>
      <c r="C13" s="3" t="s">
        <v>268</v>
      </c>
      <c r="D13" s="1"/>
      <c r="E13" s="1"/>
      <c r="F13" s="1"/>
    </row>
    <row r="14" spans="1:6" ht="30">
      <c r="A14" s="5" t="s">
        <v>269</v>
      </c>
      <c r="B14" s="6" t="s">
        <v>270</v>
      </c>
      <c r="C14" s="6" t="s">
        <v>271</v>
      </c>
      <c r="D14" s="1"/>
      <c r="E14" s="1"/>
      <c r="F14" s="1"/>
    </row>
    <row r="15" spans="1:6" ht="36" customHeight="1">
      <c r="A15" s="34" t="s">
        <v>272</v>
      </c>
      <c r="B15" s="32"/>
      <c r="C15" s="32"/>
      <c r="D15" s="1"/>
      <c r="E15" s="1"/>
      <c r="F15" s="1"/>
    </row>
    <row r="16" spans="1:6" ht="15">
      <c r="A16" s="1"/>
      <c r="B16" s="1"/>
      <c r="C16" s="1"/>
      <c r="D16" s="1"/>
      <c r="E16" s="1"/>
      <c r="F16" s="1"/>
    </row>
    <row r="17" spans="1:6" ht="15">
      <c r="A17" s="31" t="s">
        <v>273</v>
      </c>
      <c r="B17" s="32"/>
      <c r="C17" s="32"/>
      <c r="D17" s="32"/>
      <c r="E17" s="32"/>
      <c r="F17" s="32"/>
    </row>
    <row r="18" spans="1:6" ht="15">
      <c r="A18" s="33" t="s">
        <v>274</v>
      </c>
      <c r="B18" s="32"/>
      <c r="C18" s="32"/>
      <c r="D18" s="32"/>
      <c r="E18" s="32"/>
      <c r="F18" s="32"/>
    </row>
    <row r="19" spans="1:6" ht="30" customHeight="1">
      <c r="A19" s="2" t="s">
        <v>275</v>
      </c>
      <c r="B19" s="2" t="s">
        <v>276</v>
      </c>
      <c r="C19" s="2" t="s">
        <v>277</v>
      </c>
      <c r="D19" s="2" t="s">
        <v>278</v>
      </c>
      <c r="E19" s="2" t="s">
        <v>279</v>
      </c>
      <c r="F19" s="2" t="s">
        <v>280</v>
      </c>
    </row>
    <row r="20" spans="1:6" ht="15">
      <c r="A20" s="4" t="s">
        <v>281</v>
      </c>
      <c r="B20" s="3" t="s">
        <v>282</v>
      </c>
      <c r="C20" s="3" t="s">
        <v>283</v>
      </c>
      <c r="D20" s="3" t="s">
        <v>284</v>
      </c>
      <c r="E20" s="3" t="s">
        <v>285</v>
      </c>
      <c r="F20" s="3" t="s">
        <v>286</v>
      </c>
    </row>
    <row r="21" spans="1:6" ht="15">
      <c r="A21" s="4" t="s">
        <v>287</v>
      </c>
      <c r="B21" s="3" t="s">
        <v>177</v>
      </c>
      <c r="C21" s="3" t="s">
        <v>288</v>
      </c>
      <c r="D21" s="3" t="s">
        <v>36</v>
      </c>
      <c r="E21" s="3" t="s">
        <v>289</v>
      </c>
      <c r="F21" s="3" t="s">
        <v>290</v>
      </c>
    </row>
    <row r="22" spans="1:6" ht="15">
      <c r="A22" s="4" t="s">
        <v>291</v>
      </c>
      <c r="B22" s="3" t="s">
        <v>292</v>
      </c>
      <c r="C22" s="3" t="s">
        <v>293</v>
      </c>
      <c r="D22" s="3" t="s">
        <v>48</v>
      </c>
      <c r="E22" s="3" t="s">
        <v>294</v>
      </c>
      <c r="F22" s="3" t="s">
        <v>295</v>
      </c>
    </row>
    <row r="23" spans="1:6" ht="15">
      <c r="A23" s="4" t="s">
        <v>296</v>
      </c>
      <c r="B23" s="3" t="s">
        <v>297</v>
      </c>
      <c r="C23" s="3" t="s">
        <v>293</v>
      </c>
      <c r="D23" s="3" t="s">
        <v>298</v>
      </c>
      <c r="E23" s="3" t="s">
        <v>299</v>
      </c>
      <c r="F23" s="3" t="s">
        <v>300</v>
      </c>
    </row>
    <row r="24" spans="1:6" ht="15">
      <c r="A24" s="4" t="s">
        <v>301</v>
      </c>
      <c r="B24" s="3" t="s">
        <v>302</v>
      </c>
      <c r="C24" s="3" t="s">
        <v>293</v>
      </c>
      <c r="D24" s="3" t="s">
        <v>303</v>
      </c>
      <c r="E24" s="3" t="s">
        <v>304</v>
      </c>
      <c r="F24" s="3" t="s">
        <v>305</v>
      </c>
    </row>
    <row r="25" spans="1:6" ht="15">
      <c r="A25" s="4" t="s">
        <v>306</v>
      </c>
      <c r="B25" s="3" t="s">
        <v>178</v>
      </c>
      <c r="C25" s="3" t="s">
        <v>288</v>
      </c>
      <c r="D25" s="3" t="s">
        <v>130</v>
      </c>
      <c r="E25" s="3" t="s">
        <v>307</v>
      </c>
      <c r="F25" s="3" t="s">
        <v>290</v>
      </c>
    </row>
    <row r="26" spans="1:6" ht="30">
      <c r="A26" s="4" t="s">
        <v>308</v>
      </c>
      <c r="B26" s="3" t="s">
        <v>309</v>
      </c>
      <c r="C26" s="3" t="s">
        <v>310</v>
      </c>
      <c r="D26" s="3" t="s">
        <v>311</v>
      </c>
      <c r="E26" s="3" t="s">
        <v>312</v>
      </c>
      <c r="F26" s="3" t="s">
        <v>313</v>
      </c>
    </row>
    <row r="27" spans="1:6" ht="30">
      <c r="A27" s="4" t="s">
        <v>314</v>
      </c>
      <c r="B27" s="3" t="s">
        <v>315</v>
      </c>
      <c r="C27" s="3" t="s">
        <v>310</v>
      </c>
      <c r="D27" s="3" t="s">
        <v>316</v>
      </c>
      <c r="E27" s="3" t="s">
        <v>312</v>
      </c>
      <c r="F27" s="3" t="s">
        <v>313</v>
      </c>
    </row>
    <row r="28" spans="1:6" ht="30">
      <c r="A28" s="4" t="s">
        <v>317</v>
      </c>
      <c r="B28" s="3" t="s">
        <v>318</v>
      </c>
      <c r="C28" s="3" t="s">
        <v>310</v>
      </c>
      <c r="D28" s="3" t="s">
        <v>319</v>
      </c>
      <c r="E28" s="3" t="s">
        <v>312</v>
      </c>
      <c r="F28" s="3" t="s">
        <v>313</v>
      </c>
    </row>
    <row r="29" spans="1:6" ht="30">
      <c r="A29" s="4" t="s">
        <v>320</v>
      </c>
      <c r="B29" s="3" t="s">
        <v>321</v>
      </c>
      <c r="C29" s="3" t="s">
        <v>310</v>
      </c>
      <c r="D29" s="3" t="s">
        <v>322</v>
      </c>
      <c r="E29" s="3" t="s">
        <v>312</v>
      </c>
      <c r="F29" s="3" t="s">
        <v>313</v>
      </c>
    </row>
    <row r="30" spans="1:6" ht="30">
      <c r="A30" s="4" t="s">
        <v>323</v>
      </c>
      <c r="B30" s="3" t="s">
        <v>324</v>
      </c>
      <c r="C30" s="3" t="s">
        <v>310</v>
      </c>
      <c r="D30" s="3" t="s">
        <v>325</v>
      </c>
      <c r="E30" s="3" t="s">
        <v>312</v>
      </c>
      <c r="F30" s="3" t="s">
        <v>313</v>
      </c>
    </row>
    <row r="31" spans="1:6" ht="30">
      <c r="A31" s="4" t="s">
        <v>326</v>
      </c>
      <c r="B31" s="3" t="s">
        <v>327</v>
      </c>
      <c r="C31" s="3" t="s">
        <v>310</v>
      </c>
      <c r="D31" s="3" t="s">
        <v>328</v>
      </c>
      <c r="E31" s="3" t="s">
        <v>312</v>
      </c>
      <c r="F31" s="3" t="s">
        <v>313</v>
      </c>
    </row>
    <row r="32" spans="1:6" ht="15">
      <c r="A32" s="4" t="s">
        <v>329</v>
      </c>
      <c r="B32" s="3" t="s">
        <v>179</v>
      </c>
      <c r="C32" s="3" t="s">
        <v>288</v>
      </c>
      <c r="D32" s="3" t="s">
        <v>330</v>
      </c>
      <c r="E32" s="3" t="s">
        <v>289</v>
      </c>
      <c r="F32" s="3" t="s">
        <v>331</v>
      </c>
    </row>
    <row r="33" spans="1:6" ht="15">
      <c r="A33" s="4" t="s">
        <v>332</v>
      </c>
      <c r="B33" s="3" t="s">
        <v>180</v>
      </c>
      <c r="C33" s="3" t="s">
        <v>288</v>
      </c>
      <c r="D33" s="3" t="s">
        <v>333</v>
      </c>
      <c r="E33" s="3" t="s">
        <v>289</v>
      </c>
      <c r="F33" s="3" t="s">
        <v>331</v>
      </c>
    </row>
    <row r="34" spans="1:6" ht="15">
      <c r="A34" s="4" t="s">
        <v>334</v>
      </c>
      <c r="B34" s="3" t="s">
        <v>181</v>
      </c>
      <c r="C34" s="3" t="s">
        <v>288</v>
      </c>
      <c r="D34" s="3" t="s">
        <v>335</v>
      </c>
      <c r="E34" s="3" t="s">
        <v>289</v>
      </c>
      <c r="F34" s="3" t="s">
        <v>331</v>
      </c>
    </row>
    <row r="35" spans="1:6" ht="15">
      <c r="A35" s="4" t="s">
        <v>336</v>
      </c>
      <c r="B35" s="3" t="s">
        <v>182</v>
      </c>
      <c r="C35" s="3" t="s">
        <v>288</v>
      </c>
      <c r="D35" s="3" t="s">
        <v>337</v>
      </c>
      <c r="E35" s="3" t="s">
        <v>289</v>
      </c>
      <c r="F35" s="3" t="s">
        <v>331</v>
      </c>
    </row>
    <row r="36" spans="1:6" ht="15">
      <c r="A36" s="4" t="s">
        <v>338</v>
      </c>
      <c r="B36" s="3" t="s">
        <v>183</v>
      </c>
      <c r="C36" s="3" t="s">
        <v>288</v>
      </c>
      <c r="D36" s="3" t="s">
        <v>339</v>
      </c>
      <c r="E36" s="3" t="s">
        <v>289</v>
      </c>
      <c r="F36" s="3" t="s">
        <v>331</v>
      </c>
    </row>
    <row r="37" spans="1:6" ht="15">
      <c r="A37" s="4" t="s">
        <v>340</v>
      </c>
      <c r="B37" s="3" t="s">
        <v>184</v>
      </c>
      <c r="C37" s="3" t="s">
        <v>288</v>
      </c>
      <c r="D37" s="3" t="s">
        <v>341</v>
      </c>
      <c r="E37" s="3" t="s">
        <v>289</v>
      </c>
      <c r="F37" s="3" t="s">
        <v>331</v>
      </c>
    </row>
    <row r="38" spans="1:6" ht="15">
      <c r="A38" s="4" t="s">
        <v>342</v>
      </c>
      <c r="B38" s="3" t="s">
        <v>185</v>
      </c>
      <c r="C38" s="3" t="s">
        <v>288</v>
      </c>
      <c r="D38" s="3" t="s">
        <v>343</v>
      </c>
      <c r="E38" s="3" t="s">
        <v>289</v>
      </c>
      <c r="F38" s="3" t="s">
        <v>290</v>
      </c>
    </row>
    <row r="39" spans="1:6" ht="15">
      <c r="A39" s="4" t="s">
        <v>344</v>
      </c>
      <c r="B39" s="3" t="s">
        <v>186</v>
      </c>
      <c r="C39" s="3" t="s">
        <v>288</v>
      </c>
      <c r="D39" s="3" t="s">
        <v>345</v>
      </c>
      <c r="E39" s="3" t="s">
        <v>289</v>
      </c>
      <c r="F39" s="3" t="s">
        <v>290</v>
      </c>
    </row>
    <row r="40" spans="1:6" ht="15">
      <c r="A40" s="4" t="s">
        <v>346</v>
      </c>
      <c r="B40" s="3" t="s">
        <v>187</v>
      </c>
      <c r="C40" s="3" t="s">
        <v>288</v>
      </c>
      <c r="D40" s="3" t="s">
        <v>347</v>
      </c>
      <c r="E40" s="3" t="s">
        <v>289</v>
      </c>
      <c r="F40" s="3" t="s">
        <v>290</v>
      </c>
    </row>
    <row r="41" spans="1:6" ht="15">
      <c r="A41" s="4" t="s">
        <v>348</v>
      </c>
      <c r="B41" s="3" t="s">
        <v>188</v>
      </c>
      <c r="C41" s="3" t="s">
        <v>288</v>
      </c>
      <c r="D41" s="3" t="s">
        <v>349</v>
      </c>
      <c r="E41" s="3" t="s">
        <v>289</v>
      </c>
      <c r="F41" s="3" t="s">
        <v>290</v>
      </c>
    </row>
    <row r="42" spans="1:6" ht="15">
      <c r="A42" s="4" t="s">
        <v>350</v>
      </c>
      <c r="B42" s="3" t="s">
        <v>189</v>
      </c>
      <c r="C42" s="3" t="s">
        <v>288</v>
      </c>
      <c r="D42" s="3" t="s">
        <v>351</v>
      </c>
      <c r="E42" s="3" t="s">
        <v>289</v>
      </c>
      <c r="F42" s="3" t="s">
        <v>290</v>
      </c>
    </row>
    <row r="43" spans="1:6" ht="15">
      <c r="A43" s="4" t="s">
        <v>352</v>
      </c>
      <c r="B43" s="3" t="s">
        <v>190</v>
      </c>
      <c r="C43" s="3" t="s">
        <v>288</v>
      </c>
      <c r="D43" s="3" t="s">
        <v>353</v>
      </c>
      <c r="E43" s="3" t="s">
        <v>289</v>
      </c>
      <c r="F43" s="3" t="s">
        <v>290</v>
      </c>
    </row>
    <row r="44" spans="1:6" ht="15">
      <c r="A44" s="5" t="s">
        <v>354</v>
      </c>
      <c r="B44" s="6" t="s">
        <v>355</v>
      </c>
      <c r="C44" s="6" t="s">
        <v>356</v>
      </c>
      <c r="D44" s="6" t="s">
        <v>357</v>
      </c>
      <c r="E44" s="6" t="s">
        <v>358</v>
      </c>
      <c r="F44" s="6" t="s">
        <v>295</v>
      </c>
    </row>
    <row r="45" spans="1:6" ht="36" customHeight="1">
      <c r="A45" s="34" t="s">
        <v>359</v>
      </c>
      <c r="B45" s="32"/>
      <c r="C45" s="32"/>
      <c r="D45" s="32"/>
      <c r="E45" s="32"/>
      <c r="F45" s="32"/>
    </row>
    <row r="46" spans="1:6" ht="15">
      <c r="A46" s="1"/>
      <c r="B46" s="1"/>
      <c r="C46" s="1"/>
      <c r="D46" s="1"/>
      <c r="E46" s="1"/>
      <c r="F46" s="1"/>
    </row>
    <row r="47" spans="1:6" ht="15">
      <c r="A47" s="1"/>
      <c r="B47" s="1"/>
      <c r="C47" s="1"/>
      <c r="D47" s="1"/>
      <c r="E47" s="1"/>
      <c r="F47" s="1"/>
    </row>
    <row r="48" spans="1:6" ht="15">
      <c r="A48" s="1"/>
      <c r="B48" s="1"/>
      <c r="C48" s="1"/>
      <c r="D48" s="1"/>
      <c r="E48" s="1"/>
      <c r="F48" s="1"/>
    </row>
    <row r="49" spans="1:6" ht="15">
      <c r="A49" s="1"/>
      <c r="B49" s="1"/>
      <c r="C49" s="1"/>
      <c r="D49" s="1"/>
      <c r="E49" s="1"/>
      <c r="F49" s="1"/>
    </row>
    <row r="50" spans="1:6" ht="15">
      <c r="A50" s="1"/>
      <c r="B50" s="1"/>
      <c r="C50" s="1"/>
      <c r="D50" s="1"/>
      <c r="E50" s="1"/>
      <c r="F50" s="1"/>
    </row>
    <row r="51" spans="1:6" ht="15">
      <c r="A51" s="1"/>
      <c r="B51" s="1"/>
      <c r="C51" s="1"/>
      <c r="D51" s="1"/>
      <c r="E51" s="1"/>
      <c r="F51" s="1"/>
    </row>
    <row r="52" spans="1:6" ht="15">
      <c r="A52" s="1"/>
      <c r="B52" s="1"/>
      <c r="C52" s="1"/>
      <c r="D52" s="1"/>
      <c r="E52" s="1"/>
      <c r="F52" s="1"/>
    </row>
    <row r="53" spans="1:6" ht="15">
      <c r="A53" s="1"/>
      <c r="B53" s="1"/>
      <c r="C53" s="1"/>
      <c r="D53" s="1"/>
      <c r="E53" s="1"/>
      <c r="F53" s="1"/>
    </row>
    <row r="54" spans="1:6" ht="15">
      <c r="A54" s="1"/>
      <c r="B54" s="1"/>
      <c r="C54" s="1"/>
      <c r="D54" s="1"/>
      <c r="E54" s="1"/>
      <c r="F54" s="1"/>
    </row>
    <row r="55" spans="1:6" ht="15">
      <c r="A55" s="1"/>
      <c r="B55" s="1"/>
      <c r="C55" s="1"/>
      <c r="D55" s="1"/>
      <c r="E55" s="1"/>
      <c r="F55" s="1"/>
    </row>
    <row r="56" spans="1:6" ht="15">
      <c r="A56" s="1"/>
      <c r="B56" s="1"/>
      <c r="C56" s="1"/>
      <c r="D56" s="1"/>
      <c r="E56" s="1"/>
      <c r="F56" s="1"/>
    </row>
    <row r="57" spans="1:6" ht="15">
      <c r="A57" s="1"/>
      <c r="B57" s="1"/>
      <c r="C57" s="1"/>
      <c r="D57" s="1"/>
      <c r="E57" s="1"/>
      <c r="F57" s="1"/>
    </row>
    <row r="58" spans="1:6" ht="15">
      <c r="A58" s="1"/>
      <c r="B58" s="1"/>
      <c r="C58" s="1"/>
      <c r="D58" s="1"/>
      <c r="E58" s="1"/>
      <c r="F58" s="1"/>
    </row>
    <row r="59" spans="1:6" ht="15">
      <c r="A59" s="1"/>
      <c r="B59" s="1"/>
      <c r="C59" s="1"/>
      <c r="D59" s="1"/>
      <c r="E59" s="1"/>
      <c r="F59" s="1"/>
    </row>
    <row r="60" spans="1:6" ht="15">
      <c r="A60" s="1"/>
      <c r="B60" s="1"/>
      <c r="C60" s="1"/>
      <c r="D60" s="1"/>
      <c r="E60" s="1"/>
      <c r="F60" s="1"/>
    </row>
    <row r="61" spans="1:6" ht="15">
      <c r="A61" s="1"/>
      <c r="B61" s="1"/>
      <c r="C61" s="1"/>
      <c r="D61" s="1"/>
      <c r="E61" s="1"/>
      <c r="F61" s="1"/>
    </row>
    <row r="62" spans="1:6" ht="15">
      <c r="A62" s="1"/>
      <c r="B62" s="1"/>
      <c r="C62" s="1"/>
      <c r="D62" s="1"/>
      <c r="E62" s="1"/>
      <c r="F62" s="1"/>
    </row>
    <row r="63" spans="1:6" ht="15">
      <c r="A63" s="1"/>
      <c r="B63" s="1"/>
      <c r="C63" s="1"/>
      <c r="D63" s="1"/>
      <c r="E63" s="1"/>
      <c r="F63" s="1"/>
    </row>
    <row r="64" spans="1:6" ht="15">
      <c r="A64" s="1"/>
      <c r="B64" s="1"/>
      <c r="C64" s="1"/>
      <c r="D64" s="1"/>
      <c r="E64" s="1"/>
      <c r="F64" s="1"/>
    </row>
    <row r="65" spans="1:6" ht="15">
      <c r="A65" s="1"/>
      <c r="B65" s="1"/>
      <c r="C65" s="1"/>
      <c r="D65" s="1"/>
      <c r="E65" s="1"/>
      <c r="F65" s="1"/>
    </row>
    <row r="66" spans="1:6" ht="15">
      <c r="A66" s="1"/>
      <c r="B66" s="1"/>
      <c r="C66" s="1"/>
      <c r="D66" s="1"/>
      <c r="E66" s="1"/>
      <c r="F66" s="1"/>
    </row>
    <row r="67" spans="1:6" ht="15">
      <c r="A67" s="1"/>
      <c r="B67" s="1"/>
      <c r="C67" s="1"/>
      <c r="D67" s="1"/>
      <c r="E67" s="1"/>
      <c r="F67" s="1"/>
    </row>
    <row r="68" spans="1:6" ht="15">
      <c r="A68" s="1"/>
      <c r="B68" s="1"/>
      <c r="C68" s="1"/>
      <c r="D68" s="1"/>
      <c r="E68" s="1"/>
      <c r="F68" s="1"/>
    </row>
    <row r="69" spans="1:6" ht="15">
      <c r="A69" s="1"/>
      <c r="B69" s="1"/>
      <c r="C69" s="1"/>
      <c r="D69" s="1"/>
      <c r="E69" s="1"/>
      <c r="F69" s="1"/>
    </row>
    <row r="70" spans="1:6" ht="15">
      <c r="A70" s="1"/>
      <c r="B70" s="1"/>
      <c r="C70" s="1"/>
      <c r="D70" s="1"/>
      <c r="E70" s="1"/>
      <c r="F70" s="1"/>
    </row>
    <row r="71" spans="1:6" ht="15">
      <c r="A71" s="1"/>
      <c r="B71" s="1"/>
      <c r="C71" s="1"/>
      <c r="D71" s="1"/>
      <c r="E71" s="1"/>
      <c r="F71" s="1"/>
    </row>
    <row r="72" spans="1:6" ht="15">
      <c r="A72" s="1"/>
      <c r="B72" s="1"/>
      <c r="C72" s="1"/>
      <c r="D72" s="1"/>
      <c r="E72" s="1"/>
      <c r="F72" s="1"/>
    </row>
    <row r="73" spans="1:6" ht="15">
      <c r="A73" s="1"/>
      <c r="B73" s="1"/>
      <c r="C73" s="1"/>
      <c r="D73" s="1"/>
      <c r="E73" s="1"/>
      <c r="F73" s="1"/>
    </row>
    <row r="74" spans="1:6" ht="15">
      <c r="A74" s="1"/>
      <c r="B74" s="1"/>
      <c r="C74" s="1"/>
      <c r="D74" s="1"/>
      <c r="E74" s="1"/>
      <c r="F74" s="1"/>
    </row>
    <row r="75" spans="1:6" ht="15">
      <c r="A75" s="1"/>
      <c r="B75" s="1"/>
      <c r="C75" s="1"/>
      <c r="D75" s="1"/>
      <c r="E75" s="1"/>
      <c r="F75" s="1"/>
    </row>
  </sheetData>
  <mergeCells count="8">
    <mergeCell ref="A17:F17"/>
    <mergeCell ref="A18:F18"/>
    <mergeCell ref="A45:F45"/>
    <mergeCell ref="A1:F1"/>
    <mergeCell ref="A2:F2"/>
    <mergeCell ref="A5:C5"/>
    <mergeCell ref="A6:C6"/>
    <mergeCell ref="A15:C15"/>
  </mergeCells>
  <hyperlinks>
    <hyperlink ref="C8" r:id="rId1" xr:uid="{D354D960-4B60-4084-8191-6FF413BCB6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Tom tat</vt:lpstr>
      <vt:lpstr>Truc quan</vt:lpstr>
      <vt:lpstr>Doi chieu Raw-Clean</vt:lpstr>
      <vt:lpstr>Bien dinh luong</vt:lpstr>
      <vt:lpstr>Bien phan loai</vt:lpstr>
      <vt:lpstr>Tuong quan</vt:lpstr>
      <vt:lpstr>Tinh chat du lieu</vt:lpstr>
      <vt:lpstr>Nguon va tu dien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Hiếu Tạ</cp:lastModifiedBy>
  <dcterms:modified xsi:type="dcterms:W3CDTF">2026-09-27T00:08:17Z</dcterms:modified>
</cp:coreProperties>
</file>